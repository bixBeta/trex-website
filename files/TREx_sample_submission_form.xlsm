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C:\Users\jkg47\Desktop\"/>
    </mc:Choice>
  </mc:AlternateContent>
  <bookViews>
    <workbookView xWindow="0" yWindow="0" windowWidth="19200" windowHeight="6900"/>
  </bookViews>
  <sheets>
    <sheet name="Sample Information" sheetId="1" r:id="rId1"/>
    <sheet name="Example" sheetId="7" r:id="rId2"/>
    <sheet name="Source code" sheetId="4" state="hidden" r:id="rId3"/>
    <sheet name="sample table mirror" sheetId="5" state="hidden" r:id="rId4"/>
  </sheets>
  <functionGroups builtInGroupCount="18"/>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92" i="7" l="1"/>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4" i="1"/>
  <c r="A45" i="1"/>
  <c r="A46" i="1"/>
  <c r="A47" i="1"/>
  <c r="A48" i="1"/>
  <c r="A49" i="1"/>
  <c r="A50" i="1"/>
  <c r="A51" i="1"/>
  <c r="A52" i="1"/>
  <c r="A53" i="1"/>
  <c r="A54" i="1"/>
  <c r="A55" i="1"/>
  <c r="A56" i="1"/>
  <c r="A57" i="1"/>
  <c r="A58" i="1"/>
  <c r="A18" i="5" s="1"/>
  <c r="A59" i="1"/>
  <c r="A19" i="5" s="1"/>
  <c r="A60" i="1"/>
  <c r="A20" i="5" s="1"/>
  <c r="A61" i="1"/>
  <c r="A21" i="5" s="1"/>
  <c r="A62" i="1"/>
  <c r="A22" i="5" s="1"/>
  <c r="A63" i="1"/>
  <c r="A23" i="5" s="1"/>
  <c r="A64" i="1"/>
  <c r="A24" i="5" s="1"/>
  <c r="A65" i="1"/>
  <c r="A25" i="5" s="1"/>
  <c r="A66" i="1"/>
  <c r="A26" i="5" s="1"/>
  <c r="A67" i="1"/>
  <c r="B67" i="1" s="1"/>
  <c r="A68" i="1"/>
  <c r="A28" i="5" s="1"/>
  <c r="A69" i="1"/>
  <c r="A29" i="5" s="1"/>
  <c r="A70" i="1"/>
  <c r="A30" i="5" s="1"/>
  <c r="A71" i="1"/>
  <c r="A31" i="5" s="1"/>
  <c r="A72" i="1"/>
  <c r="A32" i="5" s="1"/>
  <c r="A73" i="1"/>
  <c r="A33" i="5" s="1"/>
  <c r="A74" i="1"/>
  <c r="A34" i="5" s="1"/>
  <c r="A75" i="1"/>
  <c r="B75" i="1" s="1"/>
  <c r="A76" i="1"/>
  <c r="A36" i="5" s="1"/>
  <c r="A77" i="1"/>
  <c r="B77" i="1" s="1"/>
  <c r="A78" i="1"/>
  <c r="A38" i="5" s="1"/>
  <c r="A79" i="1"/>
  <c r="A39" i="5" s="1"/>
  <c r="A80" i="1"/>
  <c r="A40" i="5" s="1"/>
  <c r="A81" i="1"/>
  <c r="A41" i="5" s="1"/>
  <c r="A82" i="1"/>
  <c r="A42" i="5" s="1"/>
  <c r="A83" i="1"/>
  <c r="B83" i="1" s="1"/>
  <c r="A84" i="1"/>
  <c r="A44" i="5" s="1"/>
  <c r="A85" i="1"/>
  <c r="B85" i="1" s="1"/>
  <c r="A86" i="1"/>
  <c r="A46" i="5" s="1"/>
  <c r="A87" i="1"/>
  <c r="A47" i="5" s="1"/>
  <c r="A88" i="1"/>
  <c r="A48" i="5" s="1"/>
  <c r="A89" i="1"/>
  <c r="A49" i="5" s="1"/>
  <c r="A90" i="1"/>
  <c r="A50" i="5" s="1"/>
  <c r="A91" i="1"/>
  <c r="A51" i="5" s="1"/>
  <c r="A92" i="1"/>
  <c r="A52" i="5" s="1"/>
  <c r="A93" i="1"/>
  <c r="A53" i="5" s="1"/>
  <c r="A94" i="1"/>
  <c r="A54" i="5" s="1"/>
  <c r="A95" i="1"/>
  <c r="A55" i="5" s="1"/>
  <c r="A96" i="1"/>
  <c r="A56" i="5" s="1"/>
  <c r="A97" i="1"/>
  <c r="A57" i="5" s="1"/>
  <c r="A98" i="1"/>
  <c r="A58" i="5" s="1"/>
  <c r="A99" i="1"/>
  <c r="B99" i="1" s="1"/>
  <c r="A100" i="1"/>
  <c r="A60" i="5" s="1"/>
  <c r="A101" i="1"/>
  <c r="A61" i="5" s="1"/>
  <c r="A102" i="1"/>
  <c r="A62" i="5" s="1"/>
  <c r="A103" i="1"/>
  <c r="A63" i="5" s="1"/>
  <c r="A104" i="1"/>
  <c r="A64" i="5" s="1"/>
  <c r="A105" i="1"/>
  <c r="A65" i="5" s="1"/>
  <c r="A106" i="1"/>
  <c r="A66" i="5" s="1"/>
  <c r="A107" i="1"/>
  <c r="B107" i="1" s="1"/>
  <c r="A108" i="1"/>
  <c r="A68" i="5" s="1"/>
  <c r="A109" i="1"/>
  <c r="B109" i="1" s="1"/>
  <c r="A110" i="1"/>
  <c r="A70" i="5" s="1"/>
  <c r="A111" i="1"/>
  <c r="A71" i="5" s="1"/>
  <c r="A112" i="1"/>
  <c r="A72" i="5" s="1"/>
  <c r="A113" i="1"/>
  <c r="A73" i="5" s="1"/>
  <c r="A114" i="1"/>
  <c r="A74" i="5" s="1"/>
  <c r="A115" i="1"/>
  <c r="B115" i="1" s="1"/>
  <c r="A116" i="1"/>
  <c r="A76" i="5" s="1"/>
  <c r="A117" i="1"/>
  <c r="B117" i="1" s="1"/>
  <c r="A118" i="1"/>
  <c r="A78" i="5" s="1"/>
  <c r="A119" i="1"/>
  <c r="A79" i="5" s="1"/>
  <c r="A120" i="1"/>
  <c r="A80" i="5" s="1"/>
  <c r="A121" i="1"/>
  <c r="A81" i="5" s="1"/>
  <c r="A122" i="1"/>
  <c r="A82" i="5" s="1"/>
  <c r="A123" i="1"/>
  <c r="A83" i="5" s="1"/>
  <c r="A124" i="1"/>
  <c r="A84" i="5" s="1"/>
  <c r="A125" i="1"/>
  <c r="A85" i="5" s="1"/>
  <c r="A126" i="1"/>
  <c r="A86" i="5" s="1"/>
  <c r="A127" i="1"/>
  <c r="A87" i="5" s="1"/>
  <c r="A128" i="1"/>
  <c r="A88" i="5" s="1"/>
  <c r="A129" i="1"/>
  <c r="A89" i="5" s="1"/>
  <c r="A130" i="1"/>
  <c r="A90" i="5" s="1"/>
  <c r="A131" i="1"/>
  <c r="B131" i="1" s="1"/>
  <c r="A132" i="1"/>
  <c r="A92" i="5" s="1"/>
  <c r="A133" i="1"/>
  <c r="A93" i="5" s="1"/>
  <c r="A134" i="1"/>
  <c r="A94" i="5" s="1"/>
  <c r="A135" i="1"/>
  <c r="A95" i="5" s="1"/>
  <c r="A136" i="1"/>
  <c r="A96" i="5" s="1"/>
  <c r="A137" i="1"/>
  <c r="A97" i="5" s="1"/>
  <c r="A138" i="1"/>
  <c r="A98" i="5" s="1"/>
  <c r="A139" i="1"/>
  <c r="B139" i="1" s="1"/>
  <c r="A140" i="1"/>
  <c r="A100" i="5" s="1"/>
  <c r="A141" i="1"/>
  <c r="B141" i="1" s="1"/>
  <c r="A142" i="1"/>
  <c r="A102" i="5" s="1"/>
  <c r="A143" i="1"/>
  <c r="A103" i="5" s="1"/>
  <c r="A144" i="1"/>
  <c r="A104" i="5" s="1"/>
  <c r="A145" i="1"/>
  <c r="A105" i="5" s="1"/>
  <c r="A146" i="1"/>
  <c r="A106" i="5" s="1"/>
  <c r="A147" i="1"/>
  <c r="B147" i="1" s="1"/>
  <c r="A148" i="1"/>
  <c r="A108" i="5" s="1"/>
  <c r="A149" i="1"/>
  <c r="B149" i="1" s="1"/>
  <c r="A150" i="1"/>
  <c r="A110" i="5" s="1"/>
  <c r="A151" i="1"/>
  <c r="A111" i="5" s="1"/>
  <c r="A152" i="1"/>
  <c r="A112" i="5" s="1"/>
  <c r="A153" i="1"/>
  <c r="A113" i="5" s="1"/>
  <c r="A154" i="1"/>
  <c r="A114" i="5" s="1"/>
  <c r="A155" i="1"/>
  <c r="A115" i="5" s="1"/>
  <c r="A156" i="1"/>
  <c r="A116" i="5" s="1"/>
  <c r="A157" i="1"/>
  <c r="A117" i="5" s="1"/>
  <c r="A158" i="1"/>
  <c r="A118" i="5" s="1"/>
  <c r="A159" i="1"/>
  <c r="A119" i="5" s="1"/>
  <c r="A160" i="1"/>
  <c r="A120" i="5" s="1"/>
  <c r="A161" i="1"/>
  <c r="A121" i="5" s="1"/>
  <c r="A162" i="1"/>
  <c r="A122" i="5" s="1"/>
  <c r="A163" i="1"/>
  <c r="B163" i="1" s="1"/>
  <c r="A164" i="1"/>
  <c r="A124" i="5" s="1"/>
  <c r="A165" i="1"/>
  <c r="A125" i="5" s="1"/>
  <c r="A166" i="1"/>
  <c r="A126" i="5" s="1"/>
  <c r="A167" i="1"/>
  <c r="A127" i="5" s="1"/>
  <c r="A168" i="1"/>
  <c r="A128" i="5" s="1"/>
  <c r="A169" i="1"/>
  <c r="A129" i="5" s="1"/>
  <c r="A170" i="1"/>
  <c r="A130" i="5" s="1"/>
  <c r="A171" i="1"/>
  <c r="B171" i="1" s="1"/>
  <c r="A172" i="1"/>
  <c r="A132" i="5" s="1"/>
  <c r="A173" i="1"/>
  <c r="B173" i="1" s="1"/>
  <c r="A174" i="1"/>
  <c r="A134" i="5" s="1"/>
  <c r="A175" i="1"/>
  <c r="A135" i="5" s="1"/>
  <c r="A176" i="1"/>
  <c r="A136" i="5" s="1"/>
  <c r="A177" i="1"/>
  <c r="A137" i="5" s="1"/>
  <c r="A178" i="1"/>
  <c r="A138" i="5" s="1"/>
  <c r="A179" i="1"/>
  <c r="B179" i="1" s="1"/>
  <c r="A180" i="1"/>
  <c r="A140" i="5" s="1"/>
  <c r="A181" i="1"/>
  <c r="B181" i="1" s="1"/>
  <c r="A182" i="1"/>
  <c r="A142" i="5" s="1"/>
  <c r="A183" i="1"/>
  <c r="A143" i="5" s="1"/>
  <c r="A184" i="1"/>
  <c r="A144" i="5" s="1"/>
  <c r="A185" i="1"/>
  <c r="A145" i="5" s="1"/>
  <c r="A186" i="1"/>
  <c r="A146" i="5" s="1"/>
  <c r="A187" i="1"/>
  <c r="A147" i="5" s="1"/>
  <c r="A188" i="1"/>
  <c r="A148" i="5" s="1"/>
  <c r="A189" i="1"/>
  <c r="A149" i="5" s="1"/>
  <c r="A190" i="1"/>
  <c r="A150" i="5" s="1"/>
  <c r="A191" i="1"/>
  <c r="A151" i="5" s="1"/>
  <c r="A192" i="1"/>
  <c r="A152" i="5" s="1"/>
  <c r="A43" i="1"/>
  <c r="L9" i="7"/>
  <c r="L135" i="5" l="1"/>
  <c r="L119" i="5"/>
  <c r="L103" i="5"/>
  <c r="L53" i="5"/>
  <c r="L29" i="5"/>
  <c r="L148" i="5"/>
  <c r="L140" i="5"/>
  <c r="L116" i="5"/>
  <c r="L108" i="5"/>
  <c r="L100" i="5"/>
  <c r="L84" i="5"/>
  <c r="L76" i="5"/>
  <c r="L52" i="5"/>
  <c r="L44" i="5"/>
  <c r="L36" i="5"/>
  <c r="L20" i="5"/>
  <c r="L121" i="5"/>
  <c r="L113" i="5"/>
  <c r="L89" i="5"/>
  <c r="L57" i="5"/>
  <c r="L49" i="5"/>
  <c r="L25" i="5"/>
  <c r="L136" i="5"/>
  <c r="L128" i="5"/>
  <c r="L120" i="5"/>
  <c r="L104" i="5"/>
  <c r="L96" i="5"/>
  <c r="L72" i="5"/>
  <c r="L64" i="5"/>
  <c r="L56" i="5"/>
  <c r="L40" i="5"/>
  <c r="L32" i="5"/>
  <c r="L145" i="5"/>
  <c r="L111" i="5"/>
  <c r="L95" i="5"/>
  <c r="L87" i="5"/>
  <c r="L71" i="5"/>
  <c r="L63" i="5"/>
  <c r="L39" i="5"/>
  <c r="L31" i="5"/>
  <c r="L23" i="5"/>
  <c r="B134" i="1"/>
  <c r="B118" i="1"/>
  <c r="B102" i="1"/>
  <c r="B92" i="1"/>
  <c r="A45" i="5"/>
  <c r="B86" i="1"/>
  <c r="B190" i="1"/>
  <c r="B76" i="1"/>
  <c r="B174" i="1"/>
  <c r="B70" i="1"/>
  <c r="B150" i="1"/>
  <c r="B60" i="1"/>
  <c r="B192" i="1"/>
  <c r="B170" i="1"/>
  <c r="B152" i="1"/>
  <c r="B136" i="1"/>
  <c r="B120" i="1"/>
  <c r="B104" i="1"/>
  <c r="B88" i="1"/>
  <c r="B72" i="1"/>
  <c r="B154" i="1"/>
  <c r="B90" i="1"/>
  <c r="B186" i="1"/>
  <c r="B166" i="1"/>
  <c r="B148" i="1"/>
  <c r="B132" i="1"/>
  <c r="B116" i="1"/>
  <c r="B100" i="1"/>
  <c r="B84" i="1"/>
  <c r="B68" i="1"/>
  <c r="B106" i="1"/>
  <c r="B168" i="1"/>
  <c r="B184" i="1"/>
  <c r="B162" i="1"/>
  <c r="B146" i="1"/>
  <c r="B130" i="1"/>
  <c r="B114" i="1"/>
  <c r="B98" i="1"/>
  <c r="B82" i="1"/>
  <c r="B66" i="1"/>
  <c r="B138" i="1"/>
  <c r="A141" i="5"/>
  <c r="L141" i="5" s="1"/>
  <c r="B182" i="1"/>
  <c r="B160" i="1"/>
  <c r="B144" i="1"/>
  <c r="B128" i="1"/>
  <c r="B112" i="1"/>
  <c r="B96" i="1"/>
  <c r="B80" i="1"/>
  <c r="B64" i="1"/>
  <c r="B122" i="1"/>
  <c r="B58" i="1"/>
  <c r="A109" i="5"/>
  <c r="B178" i="1"/>
  <c r="B158" i="1"/>
  <c r="B142" i="1"/>
  <c r="B126" i="1"/>
  <c r="B110" i="1"/>
  <c r="B94" i="1"/>
  <c r="B78" i="1"/>
  <c r="B62" i="1"/>
  <c r="B74" i="1"/>
  <c r="A77" i="5"/>
  <c r="L77" i="5" s="1"/>
  <c r="B176" i="1"/>
  <c r="B156" i="1"/>
  <c r="B140" i="1"/>
  <c r="B124" i="1"/>
  <c r="B108" i="1"/>
  <c r="A139" i="5"/>
  <c r="A107" i="5"/>
  <c r="A75" i="5"/>
  <c r="A43" i="5"/>
  <c r="B191" i="1"/>
  <c r="B183" i="1"/>
  <c r="B175" i="1"/>
  <c r="B167" i="1"/>
  <c r="B159" i="1"/>
  <c r="B151" i="1"/>
  <c r="B143" i="1"/>
  <c r="B135" i="1"/>
  <c r="B127" i="1"/>
  <c r="B119" i="1"/>
  <c r="B111" i="1"/>
  <c r="B103" i="1"/>
  <c r="B95" i="1"/>
  <c r="B87" i="1"/>
  <c r="B79" i="1"/>
  <c r="B71" i="1"/>
  <c r="B63" i="1"/>
  <c r="A133" i="5"/>
  <c r="L133" i="5" s="1"/>
  <c r="A101" i="5"/>
  <c r="A69" i="5"/>
  <c r="A37" i="5"/>
  <c r="A131" i="5"/>
  <c r="A99" i="5"/>
  <c r="A67" i="5"/>
  <c r="A35" i="5"/>
  <c r="B189" i="1"/>
  <c r="B165" i="1"/>
  <c r="B157" i="1"/>
  <c r="B133" i="1"/>
  <c r="B125" i="1"/>
  <c r="B101" i="1"/>
  <c r="B93" i="1"/>
  <c r="B69" i="1"/>
  <c r="B61" i="1"/>
  <c r="B188" i="1"/>
  <c r="B180" i="1"/>
  <c r="B172" i="1"/>
  <c r="B164" i="1"/>
  <c r="A123" i="5"/>
  <c r="A91" i="5"/>
  <c r="A59" i="5"/>
  <c r="A27" i="5"/>
  <c r="B187" i="1"/>
  <c r="B155" i="1"/>
  <c r="B123" i="1"/>
  <c r="B91" i="1"/>
  <c r="B59" i="1"/>
  <c r="B185" i="1"/>
  <c r="B177" i="1"/>
  <c r="B169" i="1"/>
  <c r="B161" i="1"/>
  <c r="B153" i="1"/>
  <c r="B145" i="1"/>
  <c r="B137" i="1"/>
  <c r="B129" i="1"/>
  <c r="B121" i="1"/>
  <c r="B113" i="1"/>
  <c r="B105" i="1"/>
  <c r="B97" i="1"/>
  <c r="B89" i="1"/>
  <c r="B81" i="1"/>
  <c r="B73" i="1"/>
  <c r="B65" i="1"/>
  <c r="R15" i="5"/>
  <c r="Q15" i="5" s="1"/>
  <c r="R16" i="5"/>
  <c r="Q16" i="5" s="1"/>
  <c r="R17" i="5"/>
  <c r="Q17" i="5" s="1"/>
  <c r="Q18" i="5"/>
  <c r="R18" i="5"/>
  <c r="R19" i="5"/>
  <c r="Q19" i="5" s="1"/>
  <c r="R20" i="5"/>
  <c r="Q20" i="5" s="1"/>
  <c r="R21" i="5"/>
  <c r="Q21" i="5" s="1"/>
  <c r="Q22" i="5"/>
  <c r="R22" i="5"/>
  <c r="R23" i="5"/>
  <c r="Q23" i="5" s="1"/>
  <c r="R24" i="5"/>
  <c r="Q24" i="5" s="1"/>
  <c r="R25" i="5"/>
  <c r="Q25" i="5" s="1"/>
  <c r="Q26" i="5"/>
  <c r="R26" i="5"/>
  <c r="R27" i="5"/>
  <c r="Q27" i="5" s="1"/>
  <c r="R28" i="5"/>
  <c r="Q28" i="5" s="1"/>
  <c r="R29" i="5"/>
  <c r="Q29" i="5" s="1"/>
  <c r="Q30" i="5"/>
  <c r="R30" i="5"/>
  <c r="R31" i="5"/>
  <c r="Q31" i="5" s="1"/>
  <c r="R32" i="5"/>
  <c r="Q32" i="5" s="1"/>
  <c r="R33" i="5"/>
  <c r="Q33" i="5" s="1"/>
  <c r="Q34" i="5"/>
  <c r="R34" i="5"/>
  <c r="R35" i="5"/>
  <c r="Q35" i="5" s="1"/>
  <c r="R36" i="5"/>
  <c r="Q36" i="5" s="1"/>
  <c r="R37" i="5"/>
  <c r="Q37" i="5" s="1"/>
  <c r="Q38" i="5"/>
  <c r="R38" i="5"/>
  <c r="R39" i="5"/>
  <c r="Q39" i="5" s="1"/>
  <c r="R40" i="5"/>
  <c r="Q40" i="5" s="1"/>
  <c r="R41" i="5"/>
  <c r="Q41" i="5" s="1"/>
  <c r="Q42" i="5"/>
  <c r="R42" i="5"/>
  <c r="R43" i="5"/>
  <c r="Q43" i="5" s="1"/>
  <c r="R44" i="5"/>
  <c r="Q44" i="5" s="1"/>
  <c r="R45" i="5"/>
  <c r="Q45" i="5" s="1"/>
  <c r="Q46" i="5"/>
  <c r="R46" i="5"/>
  <c r="R47" i="5"/>
  <c r="Q47" i="5" s="1"/>
  <c r="R48" i="5"/>
  <c r="Q48" i="5" s="1"/>
  <c r="R49" i="5"/>
  <c r="Q49" i="5" s="1"/>
  <c r="Q50" i="5"/>
  <c r="R50" i="5"/>
  <c r="R51" i="5"/>
  <c r="Q51" i="5" s="1"/>
  <c r="R52" i="5"/>
  <c r="Q52" i="5" s="1"/>
  <c r="R53" i="5"/>
  <c r="Q53" i="5" s="1"/>
  <c r="Q54" i="5"/>
  <c r="R54" i="5"/>
  <c r="R55" i="5"/>
  <c r="Q55" i="5" s="1"/>
  <c r="R56" i="5"/>
  <c r="Q56" i="5" s="1"/>
  <c r="R57" i="5"/>
  <c r="Q57" i="5" s="1"/>
  <c r="Q58" i="5"/>
  <c r="R58" i="5"/>
  <c r="R59" i="5"/>
  <c r="Q59" i="5" s="1"/>
  <c r="R60" i="5"/>
  <c r="Q60" i="5" s="1"/>
  <c r="R61" i="5"/>
  <c r="Q61" i="5" s="1"/>
  <c r="Q62" i="5"/>
  <c r="R62" i="5"/>
  <c r="R63" i="5"/>
  <c r="Q63" i="5" s="1"/>
  <c r="R64" i="5"/>
  <c r="Q64" i="5" s="1"/>
  <c r="R65" i="5"/>
  <c r="Q65" i="5" s="1"/>
  <c r="Q66" i="5"/>
  <c r="R66" i="5"/>
  <c r="R67" i="5"/>
  <c r="Q67" i="5" s="1"/>
  <c r="R68" i="5"/>
  <c r="Q68" i="5" s="1"/>
  <c r="R69" i="5"/>
  <c r="Q69" i="5" s="1"/>
  <c r="Q70" i="5"/>
  <c r="R70" i="5"/>
  <c r="R71" i="5"/>
  <c r="Q71" i="5" s="1"/>
  <c r="R72" i="5"/>
  <c r="Q72" i="5" s="1"/>
  <c r="R73" i="5"/>
  <c r="Q73" i="5" s="1"/>
  <c r="Q74" i="5"/>
  <c r="R74" i="5"/>
  <c r="R75" i="5"/>
  <c r="Q75" i="5" s="1"/>
  <c r="R76" i="5"/>
  <c r="Q76" i="5" s="1"/>
  <c r="R77" i="5"/>
  <c r="Q77" i="5" s="1"/>
  <c r="Q78" i="5"/>
  <c r="R78" i="5"/>
  <c r="R79" i="5"/>
  <c r="Q79" i="5" s="1"/>
  <c r="R80" i="5"/>
  <c r="Q80" i="5" s="1"/>
  <c r="R81" i="5"/>
  <c r="Q81" i="5" s="1"/>
  <c r="Q82" i="5"/>
  <c r="R82" i="5"/>
  <c r="R83" i="5"/>
  <c r="Q83" i="5" s="1"/>
  <c r="R84" i="5"/>
  <c r="Q84" i="5" s="1"/>
  <c r="R85" i="5"/>
  <c r="Q85" i="5" s="1"/>
  <c r="Q86" i="5"/>
  <c r="R86" i="5"/>
  <c r="R87" i="5"/>
  <c r="Q87" i="5" s="1"/>
  <c r="R88" i="5"/>
  <c r="Q88" i="5" s="1"/>
  <c r="R89" i="5"/>
  <c r="Q89" i="5" s="1"/>
  <c r="Q90" i="5"/>
  <c r="R90" i="5"/>
  <c r="R91" i="5"/>
  <c r="Q91" i="5" s="1"/>
  <c r="R92" i="5"/>
  <c r="Q92" i="5" s="1"/>
  <c r="R93" i="5"/>
  <c r="Q93" i="5" s="1"/>
  <c r="Q94" i="5"/>
  <c r="R94" i="5"/>
  <c r="R95" i="5"/>
  <c r="Q95" i="5" s="1"/>
  <c r="R96" i="5"/>
  <c r="Q96" i="5" s="1"/>
  <c r="R97" i="5"/>
  <c r="Q97" i="5" s="1"/>
  <c r="Q98" i="5"/>
  <c r="R98" i="5"/>
  <c r="R99" i="5"/>
  <c r="Q99" i="5" s="1"/>
  <c r="R100" i="5"/>
  <c r="Q100" i="5" s="1"/>
  <c r="R101" i="5"/>
  <c r="Q101" i="5" s="1"/>
  <c r="Q102" i="5"/>
  <c r="R102" i="5"/>
  <c r="R103" i="5"/>
  <c r="Q103" i="5" s="1"/>
  <c r="R104" i="5"/>
  <c r="Q104" i="5" s="1"/>
  <c r="R105" i="5"/>
  <c r="Q105" i="5" s="1"/>
  <c r="Q106" i="5"/>
  <c r="R106" i="5"/>
  <c r="R107" i="5"/>
  <c r="Q107" i="5" s="1"/>
  <c r="R108" i="5"/>
  <c r="Q108" i="5" s="1"/>
  <c r="R109" i="5"/>
  <c r="Q109" i="5" s="1"/>
  <c r="R110" i="5"/>
  <c r="Q110" i="5" s="1"/>
  <c r="R111" i="5"/>
  <c r="Q111" i="5" s="1"/>
  <c r="R112" i="5"/>
  <c r="Q112" i="5" s="1"/>
  <c r="R113" i="5"/>
  <c r="Q113" i="5" s="1"/>
  <c r="Q114" i="5"/>
  <c r="R114" i="5"/>
  <c r="R115" i="5"/>
  <c r="Q115" i="5" s="1"/>
  <c r="R116" i="5"/>
  <c r="Q116" i="5" s="1"/>
  <c r="R117" i="5"/>
  <c r="Q117" i="5" s="1"/>
  <c r="Q118" i="5"/>
  <c r="R118" i="5"/>
  <c r="R119" i="5"/>
  <c r="Q119" i="5" s="1"/>
  <c r="R120" i="5"/>
  <c r="Q120" i="5" s="1"/>
  <c r="R121" i="5"/>
  <c r="Q121" i="5" s="1"/>
  <c r="R122" i="5"/>
  <c r="Q122" i="5" s="1"/>
  <c r="R123" i="5"/>
  <c r="Q123" i="5" s="1"/>
  <c r="R124" i="5"/>
  <c r="Q124" i="5" s="1"/>
  <c r="R125" i="5"/>
  <c r="Q125" i="5" s="1"/>
  <c r="R126" i="5"/>
  <c r="Q126" i="5" s="1"/>
  <c r="R127" i="5"/>
  <c r="Q127" i="5" s="1"/>
  <c r="R128" i="5"/>
  <c r="Q128" i="5" s="1"/>
  <c r="R129" i="5"/>
  <c r="Q129" i="5" s="1"/>
  <c r="R130" i="5"/>
  <c r="Q130" i="5" s="1"/>
  <c r="R131" i="5"/>
  <c r="Q131" i="5" s="1"/>
  <c r="R132" i="5"/>
  <c r="Q132" i="5" s="1"/>
  <c r="R133" i="5"/>
  <c r="Q133" i="5" s="1"/>
  <c r="R134" i="5"/>
  <c r="Q134" i="5" s="1"/>
  <c r="R135" i="5"/>
  <c r="Q135" i="5" s="1"/>
  <c r="R136" i="5"/>
  <c r="Q136" i="5" s="1"/>
  <c r="R137" i="5"/>
  <c r="Q137" i="5" s="1"/>
  <c r="R138" i="5"/>
  <c r="Q138" i="5" s="1"/>
  <c r="R139" i="5"/>
  <c r="Q139" i="5" s="1"/>
  <c r="R140" i="5"/>
  <c r="Q140" i="5" s="1"/>
  <c r="R141" i="5"/>
  <c r="Q141" i="5" s="1"/>
  <c r="R142" i="5"/>
  <c r="Q142" i="5" s="1"/>
  <c r="R143" i="5"/>
  <c r="Q143" i="5" s="1"/>
  <c r="R144" i="5"/>
  <c r="Q144" i="5" s="1"/>
  <c r="R145" i="5"/>
  <c r="Q145" i="5" s="1"/>
  <c r="R146" i="5"/>
  <c r="Q146" i="5" s="1"/>
  <c r="R147" i="5"/>
  <c r="Q147" i="5" s="1"/>
  <c r="R148" i="5"/>
  <c r="Q148" i="5" s="1"/>
  <c r="R149" i="5"/>
  <c r="Q149" i="5" s="1"/>
  <c r="R150" i="5"/>
  <c r="Q150" i="5" s="1"/>
  <c r="R151" i="5"/>
  <c r="Q151" i="5" s="1"/>
  <c r="R152" i="5"/>
  <c r="Q152" i="5" s="1"/>
  <c r="P15" i="5"/>
  <c r="P16" i="5"/>
  <c r="P17" i="5"/>
  <c r="P18" i="5"/>
  <c r="L18" i="5" s="1"/>
  <c r="P19" i="5"/>
  <c r="L19" i="5" s="1"/>
  <c r="P20" i="5"/>
  <c r="P21" i="5"/>
  <c r="L21" i="5" s="1"/>
  <c r="P22" i="5"/>
  <c r="L22" i="5" s="1"/>
  <c r="P23" i="5"/>
  <c r="P24" i="5"/>
  <c r="L24" i="5" s="1"/>
  <c r="P25" i="5"/>
  <c r="P26" i="5"/>
  <c r="L26" i="5" s="1"/>
  <c r="P27" i="5"/>
  <c r="P28" i="5"/>
  <c r="L28" i="5" s="1"/>
  <c r="P29" i="5"/>
  <c r="P30" i="5"/>
  <c r="L30" i="5" s="1"/>
  <c r="P31" i="5"/>
  <c r="P32" i="5"/>
  <c r="P33" i="5"/>
  <c r="L33" i="5" s="1"/>
  <c r="P34" i="5"/>
  <c r="L34" i="5" s="1"/>
  <c r="P35" i="5"/>
  <c r="P36" i="5"/>
  <c r="P37" i="5"/>
  <c r="P38" i="5"/>
  <c r="L38" i="5" s="1"/>
  <c r="P39" i="5"/>
  <c r="P40" i="5"/>
  <c r="P41" i="5"/>
  <c r="L41" i="5" s="1"/>
  <c r="P42" i="5"/>
  <c r="L42" i="5" s="1"/>
  <c r="P43" i="5"/>
  <c r="P44" i="5"/>
  <c r="P45" i="5"/>
  <c r="P46" i="5"/>
  <c r="L46" i="5" s="1"/>
  <c r="P47" i="5"/>
  <c r="L47" i="5" s="1"/>
  <c r="P48" i="5"/>
  <c r="L48" i="5" s="1"/>
  <c r="P49" i="5"/>
  <c r="P50" i="5"/>
  <c r="L50" i="5" s="1"/>
  <c r="P51" i="5"/>
  <c r="L51" i="5" s="1"/>
  <c r="P52" i="5"/>
  <c r="P53" i="5"/>
  <c r="P54" i="5"/>
  <c r="L54" i="5" s="1"/>
  <c r="P55" i="5"/>
  <c r="L55" i="5" s="1"/>
  <c r="P56" i="5"/>
  <c r="P57" i="5"/>
  <c r="P58" i="5"/>
  <c r="L58" i="5" s="1"/>
  <c r="P59" i="5"/>
  <c r="P60" i="5"/>
  <c r="L60" i="5" s="1"/>
  <c r="P61" i="5"/>
  <c r="L61" i="5" s="1"/>
  <c r="P62" i="5"/>
  <c r="L62" i="5" s="1"/>
  <c r="P63" i="5"/>
  <c r="P64" i="5"/>
  <c r="P65" i="5"/>
  <c r="L65" i="5" s="1"/>
  <c r="P66" i="5"/>
  <c r="L66" i="5" s="1"/>
  <c r="P67" i="5"/>
  <c r="P68" i="5"/>
  <c r="L68" i="5" s="1"/>
  <c r="P69" i="5"/>
  <c r="P70" i="5"/>
  <c r="L70" i="5" s="1"/>
  <c r="P71" i="5"/>
  <c r="P72" i="5"/>
  <c r="P73" i="5"/>
  <c r="L73" i="5" s="1"/>
  <c r="P74" i="5"/>
  <c r="L74" i="5" s="1"/>
  <c r="P75" i="5"/>
  <c r="P76" i="5"/>
  <c r="P77" i="5"/>
  <c r="P78" i="5"/>
  <c r="L78" i="5" s="1"/>
  <c r="P79" i="5"/>
  <c r="L79" i="5" s="1"/>
  <c r="P80" i="5"/>
  <c r="L80" i="5" s="1"/>
  <c r="P81" i="5"/>
  <c r="L81" i="5" s="1"/>
  <c r="P82" i="5"/>
  <c r="L82" i="5" s="1"/>
  <c r="P83" i="5"/>
  <c r="L83" i="5" s="1"/>
  <c r="P84" i="5"/>
  <c r="P85" i="5"/>
  <c r="L85" i="5" s="1"/>
  <c r="P86" i="5"/>
  <c r="L86" i="5" s="1"/>
  <c r="P87" i="5"/>
  <c r="P88" i="5"/>
  <c r="L88" i="5" s="1"/>
  <c r="P89" i="5"/>
  <c r="P90" i="5"/>
  <c r="L90" i="5" s="1"/>
  <c r="P91" i="5"/>
  <c r="P92" i="5"/>
  <c r="L92" i="5" s="1"/>
  <c r="P93" i="5"/>
  <c r="L93" i="5" s="1"/>
  <c r="P94" i="5"/>
  <c r="L94" i="5" s="1"/>
  <c r="P95" i="5"/>
  <c r="P96" i="5"/>
  <c r="P97" i="5"/>
  <c r="L97" i="5" s="1"/>
  <c r="P98" i="5"/>
  <c r="L98" i="5" s="1"/>
  <c r="P99" i="5"/>
  <c r="P100" i="5"/>
  <c r="P101" i="5"/>
  <c r="P102" i="5"/>
  <c r="L102" i="5" s="1"/>
  <c r="P103" i="5"/>
  <c r="P104" i="5"/>
  <c r="P105" i="5"/>
  <c r="L105" i="5" s="1"/>
  <c r="P106" i="5"/>
  <c r="L106" i="5" s="1"/>
  <c r="P107" i="5"/>
  <c r="P108" i="5"/>
  <c r="P109" i="5"/>
  <c r="P110" i="5"/>
  <c r="L110" i="5" s="1"/>
  <c r="P111" i="5"/>
  <c r="P112" i="5"/>
  <c r="L112" i="5" s="1"/>
  <c r="P113" i="5"/>
  <c r="P114" i="5"/>
  <c r="L114" i="5" s="1"/>
  <c r="P115" i="5"/>
  <c r="L115" i="5" s="1"/>
  <c r="P116" i="5"/>
  <c r="P117" i="5"/>
  <c r="L117" i="5" s="1"/>
  <c r="P118" i="5"/>
  <c r="L118" i="5" s="1"/>
  <c r="P119" i="5"/>
  <c r="P120" i="5"/>
  <c r="P121" i="5"/>
  <c r="P122" i="5"/>
  <c r="L122" i="5" s="1"/>
  <c r="P123" i="5"/>
  <c r="P124" i="5"/>
  <c r="L124" i="5" s="1"/>
  <c r="P125" i="5"/>
  <c r="L125" i="5" s="1"/>
  <c r="P126" i="5"/>
  <c r="L126" i="5" s="1"/>
  <c r="P127" i="5"/>
  <c r="L127" i="5" s="1"/>
  <c r="P128" i="5"/>
  <c r="P129" i="5"/>
  <c r="L129" i="5" s="1"/>
  <c r="P130" i="5"/>
  <c r="L130" i="5" s="1"/>
  <c r="P131" i="5"/>
  <c r="P132" i="5"/>
  <c r="L132" i="5" s="1"/>
  <c r="P133" i="5"/>
  <c r="P134" i="5"/>
  <c r="L134" i="5" s="1"/>
  <c r="P135" i="5"/>
  <c r="P136" i="5"/>
  <c r="P137" i="5"/>
  <c r="L137" i="5" s="1"/>
  <c r="P138" i="5"/>
  <c r="L138" i="5" s="1"/>
  <c r="P139" i="5"/>
  <c r="P140" i="5"/>
  <c r="P141" i="5"/>
  <c r="P142" i="5"/>
  <c r="L142" i="5" s="1"/>
  <c r="P143" i="5"/>
  <c r="L143" i="5" s="1"/>
  <c r="P144" i="5"/>
  <c r="L144" i="5" s="1"/>
  <c r="P145" i="5"/>
  <c r="P146" i="5"/>
  <c r="L146" i="5" s="1"/>
  <c r="P147" i="5"/>
  <c r="L147" i="5" s="1"/>
  <c r="P148" i="5"/>
  <c r="P149" i="5"/>
  <c r="L149" i="5" s="1"/>
  <c r="P150" i="5"/>
  <c r="L150" i="5" s="1"/>
  <c r="P151" i="5"/>
  <c r="L151" i="5" s="1"/>
  <c r="P152" i="5"/>
  <c r="L152" i="5" s="1"/>
  <c r="L123" i="5" l="1"/>
  <c r="L131" i="5"/>
  <c r="L139" i="5"/>
  <c r="L45" i="5"/>
  <c r="L69" i="5"/>
  <c r="L107" i="5"/>
  <c r="L37" i="5"/>
  <c r="L109" i="5"/>
  <c r="L101" i="5"/>
  <c r="L27" i="5"/>
  <c r="L59" i="5"/>
  <c r="L35" i="5"/>
  <c r="L91" i="5"/>
  <c r="L67" i="5"/>
  <c r="L43" i="5"/>
  <c r="L99" i="5"/>
  <c r="L75" i="5"/>
  <c r="M15" i="5"/>
  <c r="O15" i="5"/>
  <c r="N15" i="5" l="1"/>
  <c r="M16" i="5"/>
  <c r="O16" i="5"/>
  <c r="N55" i="7" l="1"/>
  <c r="N16" i="5"/>
  <c r="M17" i="5"/>
  <c r="O17" i="5"/>
  <c r="N56" i="7" l="1"/>
  <c r="N17" i="5"/>
  <c r="M18" i="5"/>
  <c r="O18" i="5"/>
  <c r="N57" i="7" l="1"/>
  <c r="N18" i="5"/>
  <c r="M19" i="5"/>
  <c r="O19" i="5"/>
  <c r="M58" i="1" l="1"/>
  <c r="N58" i="1" s="1"/>
  <c r="N58" i="7"/>
  <c r="N19" i="5"/>
  <c r="M20" i="5"/>
  <c r="O20" i="5"/>
  <c r="M59" i="1" l="1"/>
  <c r="N59" i="1" s="1"/>
  <c r="N59" i="7"/>
  <c r="N20" i="5"/>
  <c r="M21" i="5"/>
  <c r="O21" i="5"/>
  <c r="M60" i="1" l="1"/>
  <c r="N60" i="1" s="1"/>
  <c r="N60" i="7"/>
  <c r="N21" i="5"/>
  <c r="M22" i="5"/>
  <c r="O22" i="5"/>
  <c r="M61" i="1" l="1"/>
  <c r="N61" i="1" s="1"/>
  <c r="N61" i="7"/>
  <c r="N22" i="5"/>
  <c r="M23" i="5"/>
  <c r="O23" i="5"/>
  <c r="M62" i="1" l="1"/>
  <c r="N62" i="1" s="1"/>
  <c r="N62" i="7"/>
  <c r="N23" i="5"/>
  <c r="M24" i="5"/>
  <c r="O24" i="5"/>
  <c r="M63" i="1" l="1"/>
  <c r="N63" i="1" s="1"/>
  <c r="N63" i="7"/>
  <c r="N24" i="5"/>
  <c r="M25" i="5"/>
  <c r="O25" i="5"/>
  <c r="M64" i="1" l="1"/>
  <c r="N64" i="1" s="1"/>
  <c r="N64" i="7"/>
  <c r="N25" i="5"/>
  <c r="M26" i="5"/>
  <c r="O26" i="5"/>
  <c r="M65" i="1" l="1"/>
  <c r="N65" i="1" s="1"/>
  <c r="N65" i="7"/>
  <c r="N26" i="5"/>
  <c r="M27" i="5"/>
  <c r="O27" i="5"/>
  <c r="M66" i="1" l="1"/>
  <c r="N66" i="1" s="1"/>
  <c r="N66" i="7"/>
  <c r="N27" i="5"/>
  <c r="M28" i="5"/>
  <c r="O28" i="5"/>
  <c r="M67" i="1" l="1"/>
  <c r="N67" i="1" s="1"/>
  <c r="N67" i="7"/>
  <c r="N28" i="5"/>
  <c r="M29" i="5"/>
  <c r="O29" i="5"/>
  <c r="M68" i="1" l="1"/>
  <c r="N68" i="1" s="1"/>
  <c r="N68" i="7"/>
  <c r="N29" i="5"/>
  <c r="M30" i="5"/>
  <c r="O30" i="5"/>
  <c r="M69" i="1" l="1"/>
  <c r="N69" i="1" s="1"/>
  <c r="N69" i="7"/>
  <c r="N30" i="5"/>
  <c r="M31" i="5"/>
  <c r="O31" i="5"/>
  <c r="M70" i="1" l="1"/>
  <c r="N70" i="1" s="1"/>
  <c r="N70" i="7"/>
  <c r="N31" i="5"/>
  <c r="M32" i="5"/>
  <c r="O32" i="5"/>
  <c r="M71" i="1" l="1"/>
  <c r="N71" i="1" s="1"/>
  <c r="N71" i="7"/>
  <c r="N32" i="5"/>
  <c r="M33" i="5"/>
  <c r="O33" i="5"/>
  <c r="M72" i="1" l="1"/>
  <c r="N72" i="1" s="1"/>
  <c r="N72" i="7"/>
  <c r="N33" i="5"/>
  <c r="M34" i="5"/>
  <c r="O34" i="5"/>
  <c r="M73" i="1" l="1"/>
  <c r="N73" i="1" s="1"/>
  <c r="N73" i="7"/>
  <c r="N34" i="5"/>
  <c r="M35" i="5"/>
  <c r="O35" i="5"/>
  <c r="M74" i="1" l="1"/>
  <c r="N74" i="1" s="1"/>
  <c r="N74" i="7"/>
  <c r="N35" i="5"/>
  <c r="M36" i="5"/>
  <c r="O36" i="5"/>
  <c r="M75" i="1" l="1"/>
  <c r="N75" i="1" s="1"/>
  <c r="N75" i="7"/>
  <c r="N36" i="5"/>
  <c r="M37" i="5"/>
  <c r="O37" i="5"/>
  <c r="M76" i="1" l="1"/>
  <c r="N76" i="1" s="1"/>
  <c r="N76" i="7"/>
  <c r="N37" i="5"/>
  <c r="M38" i="5"/>
  <c r="O38" i="5"/>
  <c r="M77" i="1" l="1"/>
  <c r="N77" i="1" s="1"/>
  <c r="N77" i="7"/>
  <c r="N38" i="5"/>
  <c r="M39" i="5"/>
  <c r="O39" i="5"/>
  <c r="M78" i="1" l="1"/>
  <c r="N78" i="1" s="1"/>
  <c r="N78" i="7"/>
  <c r="N39" i="5"/>
  <c r="M40" i="5"/>
  <c r="O40" i="5"/>
  <c r="M79" i="1" l="1"/>
  <c r="N79" i="1" s="1"/>
  <c r="N79" i="7"/>
  <c r="N40" i="5"/>
  <c r="M41" i="5"/>
  <c r="O41" i="5"/>
  <c r="M80" i="1" l="1"/>
  <c r="N80" i="1" s="1"/>
  <c r="N80" i="7"/>
  <c r="N41" i="5"/>
  <c r="M42" i="5"/>
  <c r="O42" i="5"/>
  <c r="M81" i="1" l="1"/>
  <c r="N81" i="1" s="1"/>
  <c r="N81" i="7"/>
  <c r="N42" i="5"/>
  <c r="M43" i="5"/>
  <c r="O43" i="5"/>
  <c r="M82" i="1" l="1"/>
  <c r="N82" i="1" s="1"/>
  <c r="N82" i="7"/>
  <c r="N43" i="5"/>
  <c r="M44" i="5"/>
  <c r="O44" i="5"/>
  <c r="M83" i="1" l="1"/>
  <c r="N83" i="1" s="1"/>
  <c r="N83" i="7"/>
  <c r="N44" i="5"/>
  <c r="M45" i="5"/>
  <c r="O45" i="5"/>
  <c r="M84" i="1" l="1"/>
  <c r="N84" i="1" s="1"/>
  <c r="N84" i="7"/>
  <c r="N45" i="5"/>
  <c r="M46" i="5"/>
  <c r="O46" i="5"/>
  <c r="M85" i="1" l="1"/>
  <c r="N85" i="1" s="1"/>
  <c r="N85" i="7"/>
  <c r="N46" i="5"/>
  <c r="M47" i="5"/>
  <c r="O47" i="5"/>
  <c r="N86" i="7" l="1"/>
  <c r="M86" i="1"/>
  <c r="N86" i="1" s="1"/>
  <c r="N47" i="5"/>
  <c r="M48" i="5"/>
  <c r="O48" i="5"/>
  <c r="M87" i="1" l="1"/>
  <c r="N87" i="1" s="1"/>
  <c r="N87" i="7"/>
  <c r="N48" i="5"/>
  <c r="M49" i="5"/>
  <c r="O49" i="5"/>
  <c r="M88" i="1" l="1"/>
  <c r="N88" i="1" s="1"/>
  <c r="N88" i="7"/>
  <c r="N49" i="5"/>
  <c r="M50" i="5"/>
  <c r="O50" i="5"/>
  <c r="M89" i="1" l="1"/>
  <c r="N89" i="1" s="1"/>
  <c r="N89" i="7"/>
  <c r="N50" i="5"/>
  <c r="M51" i="5"/>
  <c r="O51" i="5"/>
  <c r="M90" i="1" l="1"/>
  <c r="N90" i="1" s="1"/>
  <c r="N90" i="7"/>
  <c r="N51" i="5"/>
  <c r="M52" i="5"/>
  <c r="O52" i="5"/>
  <c r="M91" i="1" l="1"/>
  <c r="N91" i="1" s="1"/>
  <c r="N91" i="7"/>
  <c r="N52" i="5"/>
  <c r="M53" i="5"/>
  <c r="O53" i="5"/>
  <c r="N92" i="7" l="1"/>
  <c r="M92" i="1"/>
  <c r="N92" i="1" s="1"/>
  <c r="N53" i="5"/>
  <c r="M54" i="5"/>
  <c r="O54" i="5"/>
  <c r="M93" i="1" l="1"/>
  <c r="N93" i="1" s="1"/>
  <c r="N93" i="7"/>
  <c r="N54" i="5"/>
  <c r="M55" i="5"/>
  <c r="O55" i="5"/>
  <c r="M94" i="1" l="1"/>
  <c r="N94" i="1" s="1"/>
  <c r="N94" i="7"/>
  <c r="N55" i="5"/>
  <c r="M56" i="5"/>
  <c r="O56" i="5"/>
  <c r="M95" i="1" l="1"/>
  <c r="N95" i="1" s="1"/>
  <c r="N95" i="7"/>
  <c r="N56" i="5"/>
  <c r="M57" i="5"/>
  <c r="O57" i="5"/>
  <c r="M96" i="1" l="1"/>
  <c r="N96" i="1" s="1"/>
  <c r="N96" i="7"/>
  <c r="N57" i="5"/>
  <c r="M58" i="5"/>
  <c r="O58" i="5"/>
  <c r="N97" i="7" l="1"/>
  <c r="M97" i="1"/>
  <c r="N97" i="1" s="1"/>
  <c r="N58" i="5"/>
  <c r="M59" i="5"/>
  <c r="O59" i="5"/>
  <c r="M98" i="1" l="1"/>
  <c r="N98" i="1" s="1"/>
  <c r="N98" i="7"/>
  <c r="N59" i="5"/>
  <c r="M60" i="5"/>
  <c r="O60" i="5"/>
  <c r="M99" i="1" l="1"/>
  <c r="N99" i="1" s="1"/>
  <c r="N99" i="7"/>
  <c r="N60" i="5"/>
  <c r="M61" i="5"/>
  <c r="O61" i="5"/>
  <c r="M100" i="1" l="1"/>
  <c r="N100" i="1" s="1"/>
  <c r="N100" i="7"/>
  <c r="N61" i="5"/>
  <c r="M62" i="5"/>
  <c r="O62" i="5"/>
  <c r="M101" i="1" l="1"/>
  <c r="N101" i="1" s="1"/>
  <c r="N101" i="7"/>
  <c r="N62" i="5"/>
  <c r="M63" i="5"/>
  <c r="O63" i="5"/>
  <c r="M102" i="1" l="1"/>
  <c r="N102" i="1" s="1"/>
  <c r="N102" i="7"/>
  <c r="N63" i="5"/>
  <c r="M64" i="5"/>
  <c r="O64" i="5"/>
  <c r="N103" i="7" l="1"/>
  <c r="M103" i="1"/>
  <c r="N103" i="1" s="1"/>
  <c r="N64" i="5"/>
  <c r="M65" i="5"/>
  <c r="O65" i="5"/>
  <c r="M104" i="1" l="1"/>
  <c r="N104" i="1" s="1"/>
  <c r="N104" i="7"/>
  <c r="N65" i="5"/>
  <c r="M66" i="5"/>
  <c r="O66" i="5"/>
  <c r="M105" i="1" l="1"/>
  <c r="N105" i="1" s="1"/>
  <c r="N105" i="7"/>
  <c r="N66" i="5"/>
  <c r="M67" i="5"/>
  <c r="O67" i="5"/>
  <c r="M106" i="1" l="1"/>
  <c r="N106" i="1" s="1"/>
  <c r="N106" i="7"/>
  <c r="N67" i="5"/>
  <c r="M68" i="5"/>
  <c r="O68" i="5"/>
  <c r="M107" i="1" l="1"/>
  <c r="N107" i="1" s="1"/>
  <c r="N107" i="7"/>
  <c r="N68" i="5"/>
  <c r="M69" i="5"/>
  <c r="O69" i="5"/>
  <c r="N108" i="7" l="1"/>
  <c r="M108" i="1"/>
  <c r="N108" i="1" s="1"/>
  <c r="N69" i="5"/>
  <c r="M70" i="5"/>
  <c r="O70" i="5"/>
  <c r="M109" i="1" l="1"/>
  <c r="N109" i="1" s="1"/>
  <c r="N109" i="7"/>
  <c r="N70" i="5"/>
  <c r="M71" i="5"/>
  <c r="O71" i="5"/>
  <c r="M110" i="1" l="1"/>
  <c r="N110" i="1" s="1"/>
  <c r="N110" i="7"/>
  <c r="N71" i="5"/>
  <c r="M72" i="5"/>
  <c r="O72" i="5"/>
  <c r="M111" i="1" l="1"/>
  <c r="N111" i="1" s="1"/>
  <c r="N111" i="7"/>
  <c r="N72" i="5"/>
  <c r="M73" i="5"/>
  <c r="O73" i="5"/>
  <c r="M112" i="1" l="1"/>
  <c r="N112" i="1" s="1"/>
  <c r="N112" i="7"/>
  <c r="N73" i="5"/>
  <c r="M74" i="5"/>
  <c r="O74" i="5"/>
  <c r="N113" i="7" l="1"/>
  <c r="M113" i="1"/>
  <c r="N113" i="1" s="1"/>
  <c r="N74" i="5"/>
  <c r="M75" i="5"/>
  <c r="O75" i="5"/>
  <c r="M114" i="1" l="1"/>
  <c r="N114" i="1" s="1"/>
  <c r="N114" i="7"/>
  <c r="N75" i="5"/>
  <c r="M76" i="5"/>
  <c r="O76" i="5"/>
  <c r="M115" i="1" l="1"/>
  <c r="N115" i="1" s="1"/>
  <c r="N115" i="7"/>
  <c r="N76" i="5"/>
  <c r="M77" i="5"/>
  <c r="O77" i="5"/>
  <c r="M116" i="1" l="1"/>
  <c r="N116" i="1" s="1"/>
  <c r="N116" i="7"/>
  <c r="N77" i="5"/>
  <c r="M78" i="5"/>
  <c r="O78" i="5"/>
  <c r="M117" i="1" l="1"/>
  <c r="N117" i="1" s="1"/>
  <c r="N117" i="7"/>
  <c r="N78" i="5"/>
  <c r="M79" i="5"/>
  <c r="O79" i="5"/>
  <c r="M118" i="1" l="1"/>
  <c r="N118" i="1" s="1"/>
  <c r="N118" i="7"/>
  <c r="N79" i="5"/>
  <c r="M80" i="5"/>
  <c r="O80" i="5"/>
  <c r="M119" i="1" l="1"/>
  <c r="N119" i="1" s="1"/>
  <c r="N119" i="7"/>
  <c r="N80" i="5"/>
  <c r="M81" i="5"/>
  <c r="O81" i="5"/>
  <c r="M120" i="1" l="1"/>
  <c r="N120" i="1" s="1"/>
  <c r="N120" i="7"/>
  <c r="N81" i="5"/>
  <c r="M82" i="5"/>
  <c r="O82" i="5"/>
  <c r="M121" i="1" l="1"/>
  <c r="N121" i="1" s="1"/>
  <c r="N121" i="7"/>
  <c r="N82" i="5"/>
  <c r="M83" i="5"/>
  <c r="O83" i="5"/>
  <c r="M122" i="1" l="1"/>
  <c r="N122" i="1" s="1"/>
  <c r="N122" i="7"/>
  <c r="N83" i="5"/>
  <c r="M84" i="5"/>
  <c r="O84" i="5"/>
  <c r="M123" i="1" l="1"/>
  <c r="N123" i="1" s="1"/>
  <c r="N123" i="7"/>
  <c r="N84" i="5"/>
  <c r="M85" i="5"/>
  <c r="O85" i="5"/>
  <c r="N124" i="7" l="1"/>
  <c r="M124" i="1"/>
  <c r="N124" i="1" s="1"/>
  <c r="N85" i="5"/>
  <c r="M86" i="5"/>
  <c r="O86" i="5"/>
  <c r="M125" i="1" l="1"/>
  <c r="N125" i="1" s="1"/>
  <c r="N125" i="7"/>
  <c r="N86" i="5"/>
  <c r="M87" i="5"/>
  <c r="O87" i="5"/>
  <c r="M126" i="1" l="1"/>
  <c r="N126" i="1" s="1"/>
  <c r="N126" i="7"/>
  <c r="N87" i="5"/>
  <c r="M88" i="5"/>
  <c r="O88" i="5"/>
  <c r="M127" i="1" l="1"/>
  <c r="N127" i="1" s="1"/>
  <c r="N127" i="7"/>
  <c r="N88" i="5"/>
  <c r="M89" i="5"/>
  <c r="O89" i="5"/>
  <c r="M128" i="1" l="1"/>
  <c r="N128" i="1" s="1"/>
  <c r="N128" i="7"/>
  <c r="N89" i="5"/>
  <c r="M90" i="5"/>
  <c r="O90" i="5"/>
  <c r="N129" i="7" l="1"/>
  <c r="M129" i="1"/>
  <c r="N129" i="1" s="1"/>
  <c r="N90" i="5"/>
  <c r="M91" i="5"/>
  <c r="O91" i="5"/>
  <c r="M130" i="1" l="1"/>
  <c r="N130" i="1" s="1"/>
  <c r="N130" i="7"/>
  <c r="N91" i="5"/>
  <c r="M92" i="5"/>
  <c r="O92" i="5"/>
  <c r="M131" i="1" l="1"/>
  <c r="N131" i="1" s="1"/>
  <c r="N131" i="7"/>
  <c r="N92" i="5"/>
  <c r="M93" i="5"/>
  <c r="O93" i="5"/>
  <c r="M132" i="1" l="1"/>
  <c r="N132" i="1" s="1"/>
  <c r="N132" i="7"/>
  <c r="N93" i="5"/>
  <c r="M94" i="5"/>
  <c r="O94" i="5"/>
  <c r="M133" i="1" l="1"/>
  <c r="N133" i="1" s="1"/>
  <c r="N133" i="7"/>
  <c r="N94" i="5"/>
  <c r="M95" i="5"/>
  <c r="O95" i="5"/>
  <c r="M134" i="1" l="1"/>
  <c r="N134" i="1" s="1"/>
  <c r="N134" i="7"/>
  <c r="N95" i="5"/>
  <c r="M96" i="5"/>
  <c r="O96" i="5"/>
  <c r="N135" i="7" l="1"/>
  <c r="M135" i="1"/>
  <c r="N135" i="1" s="1"/>
  <c r="N96" i="5"/>
  <c r="M97" i="5"/>
  <c r="O97" i="5"/>
  <c r="M136" i="1" l="1"/>
  <c r="N136" i="1" s="1"/>
  <c r="N136" i="7"/>
  <c r="N97" i="5"/>
  <c r="M98" i="5"/>
  <c r="O98" i="5"/>
  <c r="M137" i="1" l="1"/>
  <c r="N137" i="1" s="1"/>
  <c r="N137" i="7"/>
  <c r="N98" i="5"/>
  <c r="M99" i="5"/>
  <c r="O99" i="5"/>
  <c r="M138" i="1" l="1"/>
  <c r="N138" i="1" s="1"/>
  <c r="N138" i="7"/>
  <c r="N99" i="5"/>
  <c r="M100" i="5"/>
  <c r="O100" i="5"/>
  <c r="M139" i="1" l="1"/>
  <c r="N139" i="1" s="1"/>
  <c r="N139" i="7"/>
  <c r="N100" i="5"/>
  <c r="M101" i="5"/>
  <c r="O101" i="5"/>
  <c r="N140" i="7" l="1"/>
  <c r="M140" i="1"/>
  <c r="N140" i="1" s="1"/>
  <c r="N101" i="5"/>
  <c r="M102" i="5"/>
  <c r="O102" i="5"/>
  <c r="M141" i="1" l="1"/>
  <c r="N141" i="1" s="1"/>
  <c r="N141" i="7"/>
  <c r="N102" i="5"/>
  <c r="M103" i="5"/>
  <c r="O103" i="5"/>
  <c r="M142" i="1" l="1"/>
  <c r="N142" i="1" s="1"/>
  <c r="N142" i="7"/>
  <c r="N103" i="5"/>
  <c r="M104" i="5"/>
  <c r="O104" i="5"/>
  <c r="M143" i="1" l="1"/>
  <c r="N143" i="1" s="1"/>
  <c r="N143" i="7"/>
  <c r="N104" i="5"/>
  <c r="M105" i="5"/>
  <c r="O105" i="5"/>
  <c r="M144" i="1" l="1"/>
  <c r="N144" i="1" s="1"/>
  <c r="N144" i="7"/>
  <c r="N105" i="5"/>
  <c r="M106" i="5"/>
  <c r="O106" i="5"/>
  <c r="N145" i="7" l="1"/>
  <c r="M145" i="1"/>
  <c r="N145" i="1" s="1"/>
  <c r="N106" i="5"/>
  <c r="M107" i="5"/>
  <c r="O107" i="5"/>
  <c r="M146" i="1" l="1"/>
  <c r="N146" i="1" s="1"/>
  <c r="N146" i="7"/>
  <c r="N107" i="5"/>
  <c r="M108" i="5"/>
  <c r="O108" i="5"/>
  <c r="M147" i="1" l="1"/>
  <c r="N147" i="1" s="1"/>
  <c r="N147" i="7"/>
  <c r="N108" i="5"/>
  <c r="M109" i="5"/>
  <c r="O109" i="5"/>
  <c r="M148" i="1" l="1"/>
  <c r="N148" i="1" s="1"/>
  <c r="N148" i="7"/>
  <c r="N109" i="5"/>
  <c r="M110" i="5"/>
  <c r="O110" i="5"/>
  <c r="M149" i="1" l="1"/>
  <c r="N149" i="1" s="1"/>
  <c r="N149" i="7"/>
  <c r="N110" i="5"/>
  <c r="M111" i="5"/>
  <c r="O111" i="5"/>
  <c r="M150" i="1" l="1"/>
  <c r="N150" i="1" s="1"/>
  <c r="N150" i="7"/>
  <c r="N111" i="5"/>
  <c r="M112" i="5"/>
  <c r="O112" i="5"/>
  <c r="M151" i="1" l="1"/>
  <c r="N151" i="1" s="1"/>
  <c r="N151" i="7"/>
  <c r="N112" i="5"/>
  <c r="M113" i="5"/>
  <c r="O113" i="5"/>
  <c r="M152" i="1" l="1"/>
  <c r="N152" i="1" s="1"/>
  <c r="N152" i="7"/>
  <c r="N113" i="5"/>
  <c r="M114" i="5"/>
  <c r="O114" i="5"/>
  <c r="M153" i="1" l="1"/>
  <c r="N153" i="1" s="1"/>
  <c r="N153" i="7"/>
  <c r="N114" i="5"/>
  <c r="M115" i="5"/>
  <c r="O115" i="5"/>
  <c r="M154" i="1" l="1"/>
  <c r="N154" i="1" s="1"/>
  <c r="N154" i="7"/>
  <c r="N115" i="5"/>
  <c r="M116" i="5"/>
  <c r="O116" i="5"/>
  <c r="M155" i="1" l="1"/>
  <c r="N155" i="1" s="1"/>
  <c r="N155" i="7"/>
  <c r="N116" i="5"/>
  <c r="M117" i="5"/>
  <c r="O117" i="5"/>
  <c r="N156" i="7" l="1"/>
  <c r="M156" i="1"/>
  <c r="N156" i="1" s="1"/>
  <c r="N117" i="5"/>
  <c r="M118" i="5"/>
  <c r="O118" i="5"/>
  <c r="M157" i="1" l="1"/>
  <c r="N157" i="1" s="1"/>
  <c r="N157" i="7"/>
  <c r="N118" i="5"/>
  <c r="M119" i="5"/>
  <c r="O119" i="5"/>
  <c r="M158" i="1" l="1"/>
  <c r="N158" i="1" s="1"/>
  <c r="N158" i="7"/>
  <c r="N119" i="5"/>
  <c r="M120" i="5"/>
  <c r="O120" i="5"/>
  <c r="M159" i="1" l="1"/>
  <c r="N159" i="1" s="1"/>
  <c r="N159" i="7"/>
  <c r="N120" i="5"/>
  <c r="M121" i="5"/>
  <c r="O121" i="5"/>
  <c r="M160" i="1" l="1"/>
  <c r="N160" i="1" s="1"/>
  <c r="N160" i="7"/>
  <c r="N121" i="5"/>
  <c r="M122" i="5"/>
  <c r="O122" i="5"/>
  <c r="N161" i="7" l="1"/>
  <c r="M161" i="1"/>
  <c r="N161" i="1" s="1"/>
  <c r="N122" i="5"/>
  <c r="M123" i="5"/>
  <c r="O123" i="5"/>
  <c r="M162" i="1" l="1"/>
  <c r="N162" i="1" s="1"/>
  <c r="N162" i="7"/>
  <c r="N123" i="5"/>
  <c r="M124" i="5"/>
  <c r="O124" i="5"/>
  <c r="M163" i="1" l="1"/>
  <c r="N163" i="1" s="1"/>
  <c r="N163" i="7"/>
  <c r="N124" i="5"/>
  <c r="M125" i="5"/>
  <c r="O125" i="5"/>
  <c r="M164" i="1" l="1"/>
  <c r="N164" i="1" s="1"/>
  <c r="N164" i="7"/>
  <c r="N125" i="5"/>
  <c r="M126" i="5"/>
  <c r="O126" i="5"/>
  <c r="M165" i="1" l="1"/>
  <c r="N165" i="1" s="1"/>
  <c r="N165" i="7"/>
  <c r="N126" i="5"/>
  <c r="M127" i="5"/>
  <c r="O127" i="5"/>
  <c r="M166" i="1" l="1"/>
  <c r="N166" i="1" s="1"/>
  <c r="N166" i="7"/>
  <c r="N127" i="5"/>
  <c r="M128" i="5"/>
  <c r="O128" i="5"/>
  <c r="N167" i="7" l="1"/>
  <c r="M167" i="1"/>
  <c r="N167" i="1" s="1"/>
  <c r="N128" i="5"/>
  <c r="M129" i="5"/>
  <c r="O129" i="5"/>
  <c r="M168" i="1" l="1"/>
  <c r="N168" i="1" s="1"/>
  <c r="N168" i="7"/>
  <c r="N129" i="5"/>
  <c r="M130" i="5"/>
  <c r="O130" i="5"/>
  <c r="M169" i="1" l="1"/>
  <c r="N169" i="1" s="1"/>
  <c r="N169" i="7"/>
  <c r="N130" i="5"/>
  <c r="M131" i="5"/>
  <c r="O131" i="5"/>
  <c r="M170" i="1" l="1"/>
  <c r="N170" i="1" s="1"/>
  <c r="N170" i="7"/>
  <c r="N131" i="5"/>
  <c r="M132" i="5"/>
  <c r="O132" i="5"/>
  <c r="M171" i="1" l="1"/>
  <c r="N171" i="1" s="1"/>
  <c r="N171" i="7"/>
  <c r="N132" i="5"/>
  <c r="M133" i="5"/>
  <c r="O133" i="5"/>
  <c r="N172" i="7" l="1"/>
  <c r="M172" i="1"/>
  <c r="N172" i="1" s="1"/>
  <c r="N133" i="5"/>
  <c r="M134" i="5"/>
  <c r="O134" i="5"/>
  <c r="M173" i="1" l="1"/>
  <c r="N173" i="1" s="1"/>
  <c r="N173" i="7"/>
  <c r="N134" i="5"/>
  <c r="M135" i="5"/>
  <c r="O135" i="5"/>
  <c r="M174" i="1" l="1"/>
  <c r="N174" i="1" s="1"/>
  <c r="N174" i="7"/>
  <c r="N135" i="5"/>
  <c r="M136" i="5"/>
  <c r="O136" i="5"/>
  <c r="M175" i="1" l="1"/>
  <c r="N175" i="1" s="1"/>
  <c r="N175" i="7"/>
  <c r="N136" i="5"/>
  <c r="M137" i="5"/>
  <c r="O137" i="5"/>
  <c r="M176" i="1" l="1"/>
  <c r="N176" i="1" s="1"/>
  <c r="N176" i="7"/>
  <c r="N137" i="5"/>
  <c r="M138" i="5"/>
  <c r="O138" i="5"/>
  <c r="N177" i="7" l="1"/>
  <c r="M177" i="1"/>
  <c r="N177" i="1" s="1"/>
  <c r="N138" i="5"/>
  <c r="M139" i="5"/>
  <c r="O139" i="5"/>
  <c r="M178" i="1" l="1"/>
  <c r="N178" i="1" s="1"/>
  <c r="N178" i="7"/>
  <c r="N139" i="5"/>
  <c r="M140" i="5"/>
  <c r="O140" i="5"/>
  <c r="M179" i="1" l="1"/>
  <c r="N179" i="1" s="1"/>
  <c r="N179" i="7"/>
  <c r="N140" i="5"/>
  <c r="M141" i="5"/>
  <c r="O141" i="5"/>
  <c r="M180" i="1" l="1"/>
  <c r="N180" i="1" s="1"/>
  <c r="N180" i="7"/>
  <c r="N141" i="5"/>
  <c r="M142" i="5"/>
  <c r="O142" i="5"/>
  <c r="M181" i="1" l="1"/>
  <c r="N181" i="1" s="1"/>
  <c r="N181" i="7"/>
  <c r="N142" i="5"/>
  <c r="M143" i="5"/>
  <c r="O143" i="5"/>
  <c r="M182" i="1" l="1"/>
  <c r="N182" i="1" s="1"/>
  <c r="N182" i="7"/>
  <c r="N143" i="5"/>
  <c r="M144" i="5"/>
  <c r="O144" i="5"/>
  <c r="M183" i="1" l="1"/>
  <c r="N183" i="1" s="1"/>
  <c r="N183" i="7"/>
  <c r="N144" i="5"/>
  <c r="M145" i="5"/>
  <c r="O145" i="5"/>
  <c r="M184" i="1" l="1"/>
  <c r="N184" i="1" s="1"/>
  <c r="N184" i="7"/>
  <c r="N145" i="5"/>
  <c r="M146" i="5"/>
  <c r="O146" i="5"/>
  <c r="M185" i="1" l="1"/>
  <c r="N185" i="1" s="1"/>
  <c r="N185" i="7"/>
  <c r="N146" i="5"/>
  <c r="M147" i="5"/>
  <c r="O147" i="5"/>
  <c r="M186" i="1" l="1"/>
  <c r="N186" i="1" s="1"/>
  <c r="N186" i="7"/>
  <c r="N147" i="5"/>
  <c r="M148" i="5"/>
  <c r="O148" i="5"/>
  <c r="M187" i="1" l="1"/>
  <c r="N187" i="1" s="1"/>
  <c r="N187" i="7"/>
  <c r="N148" i="5"/>
  <c r="M149" i="5"/>
  <c r="O149" i="5"/>
  <c r="N188" i="7" l="1"/>
  <c r="M188" i="1"/>
  <c r="N188" i="1" s="1"/>
  <c r="N149" i="5"/>
  <c r="M150" i="5"/>
  <c r="O150" i="5"/>
  <c r="M189" i="1" l="1"/>
  <c r="N189" i="1" s="1"/>
  <c r="N189" i="7"/>
  <c r="N150" i="5"/>
  <c r="M151" i="5"/>
  <c r="O151" i="5"/>
  <c r="M190" i="1" l="1"/>
  <c r="N190" i="1" s="1"/>
  <c r="N190" i="7"/>
  <c r="N151" i="5"/>
  <c r="M152" i="5"/>
  <c r="O152" i="5"/>
  <c r="M191" i="1" l="1"/>
  <c r="N191" i="1" s="1"/>
  <c r="N191" i="7"/>
  <c r="N152" i="5"/>
  <c r="B4" i="5"/>
  <c r="D4" i="5"/>
  <c r="E4" i="5"/>
  <c r="F4" i="5"/>
  <c r="G4" i="5"/>
  <c r="R4" i="5" s="1"/>
  <c r="I4" i="5"/>
  <c r="K4" i="5"/>
  <c r="B5" i="5"/>
  <c r="D5" i="5"/>
  <c r="E5" i="5"/>
  <c r="F5" i="5"/>
  <c r="G5" i="5"/>
  <c r="R5" i="5" s="1"/>
  <c r="I5" i="5"/>
  <c r="K5" i="5"/>
  <c r="B6" i="5"/>
  <c r="D6" i="5"/>
  <c r="E6" i="5"/>
  <c r="F6" i="5"/>
  <c r="G6" i="5"/>
  <c r="R6" i="5" s="1"/>
  <c r="I6" i="5"/>
  <c r="K6" i="5"/>
  <c r="B7" i="5"/>
  <c r="D7" i="5"/>
  <c r="E7" i="5"/>
  <c r="F7" i="5"/>
  <c r="G7" i="5"/>
  <c r="R7" i="5" s="1"/>
  <c r="I7" i="5"/>
  <c r="K7" i="5"/>
  <c r="B8" i="5"/>
  <c r="D8" i="5"/>
  <c r="E8" i="5"/>
  <c r="F8" i="5"/>
  <c r="G8" i="5"/>
  <c r="R8" i="5" s="1"/>
  <c r="I8" i="5"/>
  <c r="K8" i="5"/>
  <c r="B9" i="5"/>
  <c r="D9" i="5"/>
  <c r="E9" i="5"/>
  <c r="F9" i="5"/>
  <c r="G9" i="5"/>
  <c r="R9" i="5" s="1"/>
  <c r="I9" i="5"/>
  <c r="K9" i="5"/>
  <c r="B10" i="5"/>
  <c r="D10" i="5"/>
  <c r="E10" i="5"/>
  <c r="F10" i="5"/>
  <c r="G10" i="5"/>
  <c r="R10" i="5" s="1"/>
  <c r="I10" i="5"/>
  <c r="K10" i="5"/>
  <c r="B11" i="5"/>
  <c r="D11" i="5"/>
  <c r="E11" i="5"/>
  <c r="F11" i="5"/>
  <c r="G11" i="5"/>
  <c r="R11" i="5" s="1"/>
  <c r="I11" i="5"/>
  <c r="K11" i="5"/>
  <c r="B12" i="5"/>
  <c r="D12" i="5"/>
  <c r="E12" i="5"/>
  <c r="F12" i="5"/>
  <c r="G12" i="5"/>
  <c r="R12" i="5" s="1"/>
  <c r="I12" i="5"/>
  <c r="K12" i="5"/>
  <c r="B13" i="5"/>
  <c r="D13" i="5"/>
  <c r="E13" i="5"/>
  <c r="F13" i="5"/>
  <c r="G13" i="5"/>
  <c r="R13" i="5" s="1"/>
  <c r="I13" i="5"/>
  <c r="K13" i="5"/>
  <c r="B14" i="5"/>
  <c r="D14" i="5"/>
  <c r="E14" i="5"/>
  <c r="F14" i="5"/>
  <c r="G14" i="5"/>
  <c r="R14" i="5" s="1"/>
  <c r="I14" i="5"/>
  <c r="K14" i="5"/>
  <c r="B15" i="5"/>
  <c r="D15" i="5"/>
  <c r="E15" i="5"/>
  <c r="F15" i="5"/>
  <c r="G15" i="5"/>
  <c r="I15" i="5"/>
  <c r="K15" i="5"/>
  <c r="B16" i="5"/>
  <c r="D16" i="5"/>
  <c r="E16" i="5"/>
  <c r="F16" i="5"/>
  <c r="G16" i="5"/>
  <c r="I16" i="5"/>
  <c r="K16" i="5"/>
  <c r="B17" i="5"/>
  <c r="D17" i="5"/>
  <c r="E17" i="5"/>
  <c r="F17" i="5"/>
  <c r="G17" i="5"/>
  <c r="I17" i="5"/>
  <c r="K17" i="5"/>
  <c r="B18" i="5"/>
  <c r="D18" i="5"/>
  <c r="E18" i="5"/>
  <c r="F18" i="5"/>
  <c r="G18" i="5"/>
  <c r="I18" i="5"/>
  <c r="K18" i="5"/>
  <c r="B19" i="5"/>
  <c r="D19" i="5"/>
  <c r="E19" i="5"/>
  <c r="F19" i="5"/>
  <c r="G19" i="5"/>
  <c r="I19" i="5"/>
  <c r="K19" i="5"/>
  <c r="B20" i="5"/>
  <c r="D20" i="5"/>
  <c r="E20" i="5"/>
  <c r="F20" i="5"/>
  <c r="G20" i="5"/>
  <c r="I20" i="5"/>
  <c r="K20" i="5"/>
  <c r="B21" i="5"/>
  <c r="D21" i="5"/>
  <c r="E21" i="5"/>
  <c r="F21" i="5"/>
  <c r="G21" i="5"/>
  <c r="I21" i="5"/>
  <c r="K21" i="5"/>
  <c r="B22" i="5"/>
  <c r="D22" i="5"/>
  <c r="E22" i="5"/>
  <c r="F22" i="5"/>
  <c r="G22" i="5"/>
  <c r="I22" i="5"/>
  <c r="K22" i="5"/>
  <c r="B23" i="5"/>
  <c r="D23" i="5"/>
  <c r="E23" i="5"/>
  <c r="F23" i="5"/>
  <c r="G23" i="5"/>
  <c r="I23" i="5"/>
  <c r="K23" i="5"/>
  <c r="B24" i="5"/>
  <c r="D24" i="5"/>
  <c r="E24" i="5"/>
  <c r="F24" i="5"/>
  <c r="G24" i="5"/>
  <c r="I24" i="5"/>
  <c r="K24" i="5"/>
  <c r="B25" i="5"/>
  <c r="D25" i="5"/>
  <c r="E25" i="5"/>
  <c r="F25" i="5"/>
  <c r="G25" i="5"/>
  <c r="I25" i="5"/>
  <c r="K25" i="5"/>
  <c r="B26" i="5"/>
  <c r="D26" i="5"/>
  <c r="E26" i="5"/>
  <c r="F26" i="5"/>
  <c r="G26" i="5"/>
  <c r="I26" i="5"/>
  <c r="K26" i="5"/>
  <c r="B27" i="5"/>
  <c r="D27" i="5"/>
  <c r="E27" i="5"/>
  <c r="F27" i="5"/>
  <c r="G27" i="5"/>
  <c r="I27" i="5"/>
  <c r="K27" i="5"/>
  <c r="B28" i="5"/>
  <c r="D28" i="5"/>
  <c r="E28" i="5"/>
  <c r="F28" i="5"/>
  <c r="G28" i="5"/>
  <c r="I28" i="5"/>
  <c r="K28" i="5"/>
  <c r="B29" i="5"/>
  <c r="D29" i="5"/>
  <c r="E29" i="5"/>
  <c r="F29" i="5"/>
  <c r="G29" i="5"/>
  <c r="I29" i="5"/>
  <c r="K29" i="5"/>
  <c r="B30" i="5"/>
  <c r="D30" i="5"/>
  <c r="E30" i="5"/>
  <c r="F30" i="5"/>
  <c r="G30" i="5"/>
  <c r="I30" i="5"/>
  <c r="K30" i="5"/>
  <c r="B31" i="5"/>
  <c r="D31" i="5"/>
  <c r="E31" i="5"/>
  <c r="F31" i="5"/>
  <c r="G31" i="5"/>
  <c r="I31" i="5"/>
  <c r="K31" i="5"/>
  <c r="B32" i="5"/>
  <c r="D32" i="5"/>
  <c r="E32" i="5"/>
  <c r="F32" i="5"/>
  <c r="G32" i="5"/>
  <c r="I32" i="5"/>
  <c r="K32" i="5"/>
  <c r="B33" i="5"/>
  <c r="D33" i="5"/>
  <c r="E33" i="5"/>
  <c r="F33" i="5"/>
  <c r="G33" i="5"/>
  <c r="I33" i="5"/>
  <c r="K33" i="5"/>
  <c r="B34" i="5"/>
  <c r="D34" i="5"/>
  <c r="E34" i="5"/>
  <c r="F34" i="5"/>
  <c r="G34" i="5"/>
  <c r="I34" i="5"/>
  <c r="K34" i="5"/>
  <c r="B35" i="5"/>
  <c r="D35" i="5"/>
  <c r="E35" i="5"/>
  <c r="F35" i="5"/>
  <c r="G35" i="5"/>
  <c r="I35" i="5"/>
  <c r="K35" i="5"/>
  <c r="B36" i="5"/>
  <c r="D36" i="5"/>
  <c r="E36" i="5"/>
  <c r="F36" i="5"/>
  <c r="G36" i="5"/>
  <c r="I36" i="5"/>
  <c r="K36" i="5"/>
  <c r="B37" i="5"/>
  <c r="D37" i="5"/>
  <c r="E37" i="5"/>
  <c r="F37" i="5"/>
  <c r="G37" i="5"/>
  <c r="I37" i="5"/>
  <c r="K37" i="5"/>
  <c r="B38" i="5"/>
  <c r="D38" i="5"/>
  <c r="E38" i="5"/>
  <c r="F38" i="5"/>
  <c r="G38" i="5"/>
  <c r="I38" i="5"/>
  <c r="K38" i="5"/>
  <c r="B39" i="5"/>
  <c r="D39" i="5"/>
  <c r="E39" i="5"/>
  <c r="F39" i="5"/>
  <c r="G39" i="5"/>
  <c r="I39" i="5"/>
  <c r="K39" i="5"/>
  <c r="B40" i="5"/>
  <c r="D40" i="5"/>
  <c r="E40" i="5"/>
  <c r="F40" i="5"/>
  <c r="G40" i="5"/>
  <c r="I40" i="5"/>
  <c r="K40" i="5"/>
  <c r="B41" i="5"/>
  <c r="D41" i="5"/>
  <c r="E41" i="5"/>
  <c r="F41" i="5"/>
  <c r="G41" i="5"/>
  <c r="I41" i="5"/>
  <c r="K41" i="5"/>
  <c r="B42" i="5"/>
  <c r="D42" i="5"/>
  <c r="E42" i="5"/>
  <c r="F42" i="5"/>
  <c r="G42" i="5"/>
  <c r="I42" i="5"/>
  <c r="K42" i="5"/>
  <c r="B43" i="5"/>
  <c r="D43" i="5"/>
  <c r="E43" i="5"/>
  <c r="F43" i="5"/>
  <c r="G43" i="5"/>
  <c r="I43" i="5"/>
  <c r="K43" i="5"/>
  <c r="B44" i="5"/>
  <c r="D44" i="5"/>
  <c r="E44" i="5"/>
  <c r="F44" i="5"/>
  <c r="G44" i="5"/>
  <c r="I44" i="5"/>
  <c r="K44" i="5"/>
  <c r="B45" i="5"/>
  <c r="D45" i="5"/>
  <c r="E45" i="5"/>
  <c r="F45" i="5"/>
  <c r="G45" i="5"/>
  <c r="I45" i="5"/>
  <c r="K45" i="5"/>
  <c r="B46" i="5"/>
  <c r="D46" i="5"/>
  <c r="E46" i="5"/>
  <c r="F46" i="5"/>
  <c r="G46" i="5"/>
  <c r="I46" i="5"/>
  <c r="K46" i="5"/>
  <c r="B47" i="5"/>
  <c r="D47" i="5"/>
  <c r="E47" i="5"/>
  <c r="F47" i="5"/>
  <c r="G47" i="5"/>
  <c r="I47" i="5"/>
  <c r="K47" i="5"/>
  <c r="B48" i="5"/>
  <c r="D48" i="5"/>
  <c r="E48" i="5"/>
  <c r="F48" i="5"/>
  <c r="G48" i="5"/>
  <c r="I48" i="5"/>
  <c r="K48" i="5"/>
  <c r="B49" i="5"/>
  <c r="D49" i="5"/>
  <c r="E49" i="5"/>
  <c r="F49" i="5"/>
  <c r="G49" i="5"/>
  <c r="I49" i="5"/>
  <c r="K49" i="5"/>
  <c r="B50" i="5"/>
  <c r="D50" i="5"/>
  <c r="E50" i="5"/>
  <c r="F50" i="5"/>
  <c r="G50" i="5"/>
  <c r="I50" i="5"/>
  <c r="K50" i="5"/>
  <c r="B51" i="5"/>
  <c r="D51" i="5"/>
  <c r="E51" i="5"/>
  <c r="F51" i="5"/>
  <c r="G51" i="5"/>
  <c r="I51" i="5"/>
  <c r="K51" i="5"/>
  <c r="B52" i="5"/>
  <c r="D52" i="5"/>
  <c r="E52" i="5"/>
  <c r="F52" i="5"/>
  <c r="G52" i="5"/>
  <c r="I52" i="5"/>
  <c r="K52" i="5"/>
  <c r="B53" i="5"/>
  <c r="D53" i="5"/>
  <c r="E53" i="5"/>
  <c r="F53" i="5"/>
  <c r="G53" i="5"/>
  <c r="I53" i="5"/>
  <c r="K53" i="5"/>
  <c r="B54" i="5"/>
  <c r="D54" i="5"/>
  <c r="E54" i="5"/>
  <c r="F54" i="5"/>
  <c r="G54" i="5"/>
  <c r="I54" i="5"/>
  <c r="K54" i="5"/>
  <c r="B55" i="5"/>
  <c r="D55" i="5"/>
  <c r="E55" i="5"/>
  <c r="F55" i="5"/>
  <c r="G55" i="5"/>
  <c r="I55" i="5"/>
  <c r="K55" i="5"/>
  <c r="B56" i="5"/>
  <c r="D56" i="5"/>
  <c r="E56" i="5"/>
  <c r="F56" i="5"/>
  <c r="G56" i="5"/>
  <c r="I56" i="5"/>
  <c r="K56" i="5"/>
  <c r="B57" i="5"/>
  <c r="D57" i="5"/>
  <c r="E57" i="5"/>
  <c r="F57" i="5"/>
  <c r="G57" i="5"/>
  <c r="I57" i="5"/>
  <c r="K57" i="5"/>
  <c r="B58" i="5"/>
  <c r="D58" i="5"/>
  <c r="E58" i="5"/>
  <c r="F58" i="5"/>
  <c r="G58" i="5"/>
  <c r="I58" i="5"/>
  <c r="K58" i="5"/>
  <c r="B59" i="5"/>
  <c r="D59" i="5"/>
  <c r="E59" i="5"/>
  <c r="F59" i="5"/>
  <c r="G59" i="5"/>
  <c r="I59" i="5"/>
  <c r="K59" i="5"/>
  <c r="B60" i="5"/>
  <c r="D60" i="5"/>
  <c r="E60" i="5"/>
  <c r="F60" i="5"/>
  <c r="G60" i="5"/>
  <c r="I60" i="5"/>
  <c r="K60" i="5"/>
  <c r="B61" i="5"/>
  <c r="D61" i="5"/>
  <c r="E61" i="5"/>
  <c r="F61" i="5"/>
  <c r="G61" i="5"/>
  <c r="I61" i="5"/>
  <c r="K61" i="5"/>
  <c r="B62" i="5"/>
  <c r="D62" i="5"/>
  <c r="E62" i="5"/>
  <c r="F62" i="5"/>
  <c r="G62" i="5"/>
  <c r="I62" i="5"/>
  <c r="K62" i="5"/>
  <c r="B63" i="5"/>
  <c r="D63" i="5"/>
  <c r="E63" i="5"/>
  <c r="F63" i="5"/>
  <c r="G63" i="5"/>
  <c r="I63" i="5"/>
  <c r="K63" i="5"/>
  <c r="B64" i="5"/>
  <c r="D64" i="5"/>
  <c r="E64" i="5"/>
  <c r="F64" i="5"/>
  <c r="G64" i="5"/>
  <c r="I64" i="5"/>
  <c r="K64" i="5"/>
  <c r="B65" i="5"/>
  <c r="D65" i="5"/>
  <c r="E65" i="5"/>
  <c r="F65" i="5"/>
  <c r="G65" i="5"/>
  <c r="I65" i="5"/>
  <c r="K65" i="5"/>
  <c r="B66" i="5"/>
  <c r="D66" i="5"/>
  <c r="E66" i="5"/>
  <c r="F66" i="5"/>
  <c r="G66" i="5"/>
  <c r="I66" i="5"/>
  <c r="K66" i="5"/>
  <c r="B67" i="5"/>
  <c r="D67" i="5"/>
  <c r="E67" i="5"/>
  <c r="F67" i="5"/>
  <c r="G67" i="5"/>
  <c r="I67" i="5"/>
  <c r="K67" i="5"/>
  <c r="B68" i="5"/>
  <c r="D68" i="5"/>
  <c r="E68" i="5"/>
  <c r="F68" i="5"/>
  <c r="G68" i="5"/>
  <c r="I68" i="5"/>
  <c r="K68" i="5"/>
  <c r="B69" i="5"/>
  <c r="D69" i="5"/>
  <c r="E69" i="5"/>
  <c r="F69" i="5"/>
  <c r="G69" i="5"/>
  <c r="I69" i="5"/>
  <c r="K69" i="5"/>
  <c r="B70" i="5"/>
  <c r="D70" i="5"/>
  <c r="E70" i="5"/>
  <c r="F70" i="5"/>
  <c r="G70" i="5"/>
  <c r="I70" i="5"/>
  <c r="K70" i="5"/>
  <c r="B71" i="5"/>
  <c r="D71" i="5"/>
  <c r="E71" i="5"/>
  <c r="F71" i="5"/>
  <c r="G71" i="5"/>
  <c r="I71" i="5"/>
  <c r="K71" i="5"/>
  <c r="B72" i="5"/>
  <c r="D72" i="5"/>
  <c r="E72" i="5"/>
  <c r="F72" i="5"/>
  <c r="G72" i="5"/>
  <c r="I72" i="5"/>
  <c r="K72" i="5"/>
  <c r="B73" i="5"/>
  <c r="D73" i="5"/>
  <c r="E73" i="5"/>
  <c r="F73" i="5"/>
  <c r="G73" i="5"/>
  <c r="I73" i="5"/>
  <c r="K73" i="5"/>
  <c r="B74" i="5"/>
  <c r="D74" i="5"/>
  <c r="E74" i="5"/>
  <c r="F74" i="5"/>
  <c r="G74" i="5"/>
  <c r="I74" i="5"/>
  <c r="K74" i="5"/>
  <c r="B75" i="5"/>
  <c r="D75" i="5"/>
  <c r="E75" i="5"/>
  <c r="F75" i="5"/>
  <c r="G75" i="5"/>
  <c r="I75" i="5"/>
  <c r="K75" i="5"/>
  <c r="B76" i="5"/>
  <c r="D76" i="5"/>
  <c r="E76" i="5"/>
  <c r="F76" i="5"/>
  <c r="G76" i="5"/>
  <c r="I76" i="5"/>
  <c r="K76" i="5"/>
  <c r="B77" i="5"/>
  <c r="D77" i="5"/>
  <c r="E77" i="5"/>
  <c r="F77" i="5"/>
  <c r="G77" i="5"/>
  <c r="I77" i="5"/>
  <c r="K77" i="5"/>
  <c r="B78" i="5"/>
  <c r="D78" i="5"/>
  <c r="E78" i="5"/>
  <c r="F78" i="5"/>
  <c r="G78" i="5"/>
  <c r="I78" i="5"/>
  <c r="K78" i="5"/>
  <c r="B79" i="5"/>
  <c r="D79" i="5"/>
  <c r="E79" i="5"/>
  <c r="F79" i="5"/>
  <c r="G79" i="5"/>
  <c r="I79" i="5"/>
  <c r="K79" i="5"/>
  <c r="B80" i="5"/>
  <c r="D80" i="5"/>
  <c r="E80" i="5"/>
  <c r="F80" i="5"/>
  <c r="G80" i="5"/>
  <c r="I80" i="5"/>
  <c r="K80" i="5"/>
  <c r="B81" i="5"/>
  <c r="D81" i="5"/>
  <c r="E81" i="5"/>
  <c r="F81" i="5"/>
  <c r="G81" i="5"/>
  <c r="I81" i="5"/>
  <c r="K81" i="5"/>
  <c r="B82" i="5"/>
  <c r="D82" i="5"/>
  <c r="E82" i="5"/>
  <c r="F82" i="5"/>
  <c r="G82" i="5"/>
  <c r="I82" i="5"/>
  <c r="K82" i="5"/>
  <c r="B83" i="5"/>
  <c r="D83" i="5"/>
  <c r="E83" i="5"/>
  <c r="F83" i="5"/>
  <c r="G83" i="5"/>
  <c r="I83" i="5"/>
  <c r="K83" i="5"/>
  <c r="B84" i="5"/>
  <c r="D84" i="5"/>
  <c r="E84" i="5"/>
  <c r="F84" i="5"/>
  <c r="G84" i="5"/>
  <c r="I84" i="5"/>
  <c r="K84" i="5"/>
  <c r="B85" i="5"/>
  <c r="D85" i="5"/>
  <c r="E85" i="5"/>
  <c r="F85" i="5"/>
  <c r="G85" i="5"/>
  <c r="I85" i="5"/>
  <c r="K85" i="5"/>
  <c r="B86" i="5"/>
  <c r="D86" i="5"/>
  <c r="E86" i="5"/>
  <c r="F86" i="5"/>
  <c r="G86" i="5"/>
  <c r="I86" i="5"/>
  <c r="K86" i="5"/>
  <c r="B87" i="5"/>
  <c r="D87" i="5"/>
  <c r="E87" i="5"/>
  <c r="F87" i="5"/>
  <c r="G87" i="5"/>
  <c r="I87" i="5"/>
  <c r="K87" i="5"/>
  <c r="B88" i="5"/>
  <c r="D88" i="5"/>
  <c r="E88" i="5"/>
  <c r="F88" i="5"/>
  <c r="G88" i="5"/>
  <c r="I88" i="5"/>
  <c r="K88" i="5"/>
  <c r="B89" i="5"/>
  <c r="D89" i="5"/>
  <c r="E89" i="5"/>
  <c r="F89" i="5"/>
  <c r="G89" i="5"/>
  <c r="I89" i="5"/>
  <c r="K89" i="5"/>
  <c r="B90" i="5"/>
  <c r="D90" i="5"/>
  <c r="E90" i="5"/>
  <c r="F90" i="5"/>
  <c r="G90" i="5"/>
  <c r="I90" i="5"/>
  <c r="K90" i="5"/>
  <c r="B91" i="5"/>
  <c r="D91" i="5"/>
  <c r="E91" i="5"/>
  <c r="F91" i="5"/>
  <c r="G91" i="5"/>
  <c r="I91" i="5"/>
  <c r="K91" i="5"/>
  <c r="B92" i="5"/>
  <c r="D92" i="5"/>
  <c r="E92" i="5"/>
  <c r="F92" i="5"/>
  <c r="G92" i="5"/>
  <c r="I92" i="5"/>
  <c r="K92" i="5"/>
  <c r="B93" i="5"/>
  <c r="D93" i="5"/>
  <c r="E93" i="5"/>
  <c r="F93" i="5"/>
  <c r="G93" i="5"/>
  <c r="I93" i="5"/>
  <c r="K93" i="5"/>
  <c r="B94" i="5"/>
  <c r="D94" i="5"/>
  <c r="E94" i="5"/>
  <c r="F94" i="5"/>
  <c r="G94" i="5"/>
  <c r="I94" i="5"/>
  <c r="K94" i="5"/>
  <c r="B95" i="5"/>
  <c r="D95" i="5"/>
  <c r="E95" i="5"/>
  <c r="F95" i="5"/>
  <c r="G95" i="5"/>
  <c r="I95" i="5"/>
  <c r="K95" i="5"/>
  <c r="B96" i="5"/>
  <c r="D96" i="5"/>
  <c r="E96" i="5"/>
  <c r="F96" i="5"/>
  <c r="G96" i="5"/>
  <c r="I96" i="5"/>
  <c r="K96" i="5"/>
  <c r="B97" i="5"/>
  <c r="D97" i="5"/>
  <c r="E97" i="5"/>
  <c r="F97" i="5"/>
  <c r="G97" i="5"/>
  <c r="I97" i="5"/>
  <c r="K97" i="5"/>
  <c r="B98" i="5"/>
  <c r="D98" i="5"/>
  <c r="E98" i="5"/>
  <c r="F98" i="5"/>
  <c r="G98" i="5"/>
  <c r="I98" i="5"/>
  <c r="K98" i="5"/>
  <c r="B99" i="5"/>
  <c r="D99" i="5"/>
  <c r="E99" i="5"/>
  <c r="F99" i="5"/>
  <c r="G99" i="5"/>
  <c r="I99" i="5"/>
  <c r="K99" i="5"/>
  <c r="B100" i="5"/>
  <c r="D100" i="5"/>
  <c r="E100" i="5"/>
  <c r="F100" i="5"/>
  <c r="G100" i="5"/>
  <c r="I100" i="5"/>
  <c r="K100" i="5"/>
  <c r="B101" i="5"/>
  <c r="D101" i="5"/>
  <c r="E101" i="5"/>
  <c r="F101" i="5"/>
  <c r="G101" i="5"/>
  <c r="I101" i="5"/>
  <c r="K101" i="5"/>
  <c r="B102" i="5"/>
  <c r="D102" i="5"/>
  <c r="E102" i="5"/>
  <c r="F102" i="5"/>
  <c r="G102" i="5"/>
  <c r="I102" i="5"/>
  <c r="K102" i="5"/>
  <c r="B103" i="5"/>
  <c r="D103" i="5"/>
  <c r="E103" i="5"/>
  <c r="F103" i="5"/>
  <c r="G103" i="5"/>
  <c r="I103" i="5"/>
  <c r="K103" i="5"/>
  <c r="B104" i="5"/>
  <c r="D104" i="5"/>
  <c r="E104" i="5"/>
  <c r="F104" i="5"/>
  <c r="G104" i="5"/>
  <c r="I104" i="5"/>
  <c r="K104" i="5"/>
  <c r="B105" i="5"/>
  <c r="D105" i="5"/>
  <c r="E105" i="5"/>
  <c r="F105" i="5"/>
  <c r="G105" i="5"/>
  <c r="I105" i="5"/>
  <c r="K105" i="5"/>
  <c r="B106" i="5"/>
  <c r="D106" i="5"/>
  <c r="E106" i="5"/>
  <c r="F106" i="5"/>
  <c r="G106" i="5"/>
  <c r="I106" i="5"/>
  <c r="K106" i="5"/>
  <c r="B107" i="5"/>
  <c r="D107" i="5"/>
  <c r="E107" i="5"/>
  <c r="F107" i="5"/>
  <c r="G107" i="5"/>
  <c r="I107" i="5"/>
  <c r="K107" i="5"/>
  <c r="B108" i="5"/>
  <c r="D108" i="5"/>
  <c r="E108" i="5"/>
  <c r="F108" i="5"/>
  <c r="G108" i="5"/>
  <c r="I108" i="5"/>
  <c r="K108" i="5"/>
  <c r="B109" i="5"/>
  <c r="D109" i="5"/>
  <c r="E109" i="5"/>
  <c r="F109" i="5"/>
  <c r="G109" i="5"/>
  <c r="I109" i="5"/>
  <c r="K109" i="5"/>
  <c r="B110" i="5"/>
  <c r="D110" i="5"/>
  <c r="E110" i="5"/>
  <c r="F110" i="5"/>
  <c r="G110" i="5"/>
  <c r="I110" i="5"/>
  <c r="K110" i="5"/>
  <c r="B111" i="5"/>
  <c r="D111" i="5"/>
  <c r="E111" i="5"/>
  <c r="F111" i="5"/>
  <c r="G111" i="5"/>
  <c r="I111" i="5"/>
  <c r="K111" i="5"/>
  <c r="B112" i="5"/>
  <c r="D112" i="5"/>
  <c r="E112" i="5"/>
  <c r="F112" i="5"/>
  <c r="G112" i="5"/>
  <c r="I112" i="5"/>
  <c r="K112" i="5"/>
  <c r="B113" i="5"/>
  <c r="D113" i="5"/>
  <c r="E113" i="5"/>
  <c r="F113" i="5"/>
  <c r="G113" i="5"/>
  <c r="I113" i="5"/>
  <c r="K113" i="5"/>
  <c r="B114" i="5"/>
  <c r="D114" i="5"/>
  <c r="E114" i="5"/>
  <c r="F114" i="5"/>
  <c r="G114" i="5"/>
  <c r="I114" i="5"/>
  <c r="K114" i="5"/>
  <c r="B115" i="5"/>
  <c r="D115" i="5"/>
  <c r="E115" i="5"/>
  <c r="F115" i="5"/>
  <c r="G115" i="5"/>
  <c r="I115" i="5"/>
  <c r="K115" i="5"/>
  <c r="B116" i="5"/>
  <c r="D116" i="5"/>
  <c r="E116" i="5"/>
  <c r="F116" i="5"/>
  <c r="G116" i="5"/>
  <c r="I116" i="5"/>
  <c r="K116" i="5"/>
  <c r="B117" i="5"/>
  <c r="D117" i="5"/>
  <c r="E117" i="5"/>
  <c r="F117" i="5"/>
  <c r="G117" i="5"/>
  <c r="I117" i="5"/>
  <c r="K117" i="5"/>
  <c r="B118" i="5"/>
  <c r="D118" i="5"/>
  <c r="E118" i="5"/>
  <c r="F118" i="5"/>
  <c r="G118" i="5"/>
  <c r="I118" i="5"/>
  <c r="K118" i="5"/>
  <c r="B119" i="5"/>
  <c r="D119" i="5"/>
  <c r="E119" i="5"/>
  <c r="F119" i="5"/>
  <c r="G119" i="5"/>
  <c r="I119" i="5"/>
  <c r="K119" i="5"/>
  <c r="B120" i="5"/>
  <c r="D120" i="5"/>
  <c r="E120" i="5"/>
  <c r="F120" i="5"/>
  <c r="G120" i="5"/>
  <c r="I120" i="5"/>
  <c r="K120" i="5"/>
  <c r="B121" i="5"/>
  <c r="D121" i="5"/>
  <c r="E121" i="5"/>
  <c r="F121" i="5"/>
  <c r="G121" i="5"/>
  <c r="I121" i="5"/>
  <c r="K121" i="5"/>
  <c r="B122" i="5"/>
  <c r="D122" i="5"/>
  <c r="E122" i="5"/>
  <c r="F122" i="5"/>
  <c r="G122" i="5"/>
  <c r="I122" i="5"/>
  <c r="K122" i="5"/>
  <c r="B123" i="5"/>
  <c r="D123" i="5"/>
  <c r="E123" i="5"/>
  <c r="F123" i="5"/>
  <c r="G123" i="5"/>
  <c r="I123" i="5"/>
  <c r="K123" i="5"/>
  <c r="B124" i="5"/>
  <c r="D124" i="5"/>
  <c r="E124" i="5"/>
  <c r="F124" i="5"/>
  <c r="G124" i="5"/>
  <c r="I124" i="5"/>
  <c r="K124" i="5"/>
  <c r="B125" i="5"/>
  <c r="D125" i="5"/>
  <c r="E125" i="5"/>
  <c r="F125" i="5"/>
  <c r="G125" i="5"/>
  <c r="I125" i="5"/>
  <c r="K125" i="5"/>
  <c r="B126" i="5"/>
  <c r="D126" i="5"/>
  <c r="E126" i="5"/>
  <c r="F126" i="5"/>
  <c r="G126" i="5"/>
  <c r="I126" i="5"/>
  <c r="K126" i="5"/>
  <c r="B127" i="5"/>
  <c r="D127" i="5"/>
  <c r="E127" i="5"/>
  <c r="F127" i="5"/>
  <c r="G127" i="5"/>
  <c r="I127" i="5"/>
  <c r="K127" i="5"/>
  <c r="B128" i="5"/>
  <c r="D128" i="5"/>
  <c r="E128" i="5"/>
  <c r="F128" i="5"/>
  <c r="G128" i="5"/>
  <c r="I128" i="5"/>
  <c r="K128" i="5"/>
  <c r="B129" i="5"/>
  <c r="D129" i="5"/>
  <c r="E129" i="5"/>
  <c r="F129" i="5"/>
  <c r="G129" i="5"/>
  <c r="I129" i="5"/>
  <c r="K129" i="5"/>
  <c r="B130" i="5"/>
  <c r="D130" i="5"/>
  <c r="E130" i="5"/>
  <c r="F130" i="5"/>
  <c r="G130" i="5"/>
  <c r="I130" i="5"/>
  <c r="K130" i="5"/>
  <c r="B131" i="5"/>
  <c r="D131" i="5"/>
  <c r="E131" i="5"/>
  <c r="F131" i="5"/>
  <c r="G131" i="5"/>
  <c r="I131" i="5"/>
  <c r="K131" i="5"/>
  <c r="B132" i="5"/>
  <c r="D132" i="5"/>
  <c r="E132" i="5"/>
  <c r="F132" i="5"/>
  <c r="G132" i="5"/>
  <c r="I132" i="5"/>
  <c r="K132" i="5"/>
  <c r="B133" i="5"/>
  <c r="D133" i="5"/>
  <c r="E133" i="5"/>
  <c r="F133" i="5"/>
  <c r="G133" i="5"/>
  <c r="I133" i="5"/>
  <c r="K133" i="5"/>
  <c r="B134" i="5"/>
  <c r="D134" i="5"/>
  <c r="E134" i="5"/>
  <c r="F134" i="5"/>
  <c r="G134" i="5"/>
  <c r="I134" i="5"/>
  <c r="K134" i="5"/>
  <c r="B135" i="5"/>
  <c r="D135" i="5"/>
  <c r="E135" i="5"/>
  <c r="F135" i="5"/>
  <c r="G135" i="5"/>
  <c r="I135" i="5"/>
  <c r="K135" i="5"/>
  <c r="B136" i="5"/>
  <c r="D136" i="5"/>
  <c r="E136" i="5"/>
  <c r="F136" i="5"/>
  <c r="G136" i="5"/>
  <c r="I136" i="5"/>
  <c r="K136" i="5"/>
  <c r="B137" i="5"/>
  <c r="D137" i="5"/>
  <c r="E137" i="5"/>
  <c r="F137" i="5"/>
  <c r="G137" i="5"/>
  <c r="I137" i="5"/>
  <c r="K137" i="5"/>
  <c r="B138" i="5"/>
  <c r="D138" i="5"/>
  <c r="E138" i="5"/>
  <c r="F138" i="5"/>
  <c r="G138" i="5"/>
  <c r="I138" i="5"/>
  <c r="K138" i="5"/>
  <c r="B139" i="5"/>
  <c r="D139" i="5"/>
  <c r="E139" i="5"/>
  <c r="F139" i="5"/>
  <c r="G139" i="5"/>
  <c r="I139" i="5"/>
  <c r="K139" i="5"/>
  <c r="B140" i="5"/>
  <c r="D140" i="5"/>
  <c r="E140" i="5"/>
  <c r="F140" i="5"/>
  <c r="G140" i="5"/>
  <c r="I140" i="5"/>
  <c r="K140" i="5"/>
  <c r="B141" i="5"/>
  <c r="D141" i="5"/>
  <c r="E141" i="5"/>
  <c r="F141" i="5"/>
  <c r="G141" i="5"/>
  <c r="I141" i="5"/>
  <c r="K141" i="5"/>
  <c r="B142" i="5"/>
  <c r="D142" i="5"/>
  <c r="E142" i="5"/>
  <c r="F142" i="5"/>
  <c r="G142" i="5"/>
  <c r="I142" i="5"/>
  <c r="K142" i="5"/>
  <c r="B143" i="5"/>
  <c r="D143" i="5"/>
  <c r="E143" i="5"/>
  <c r="F143" i="5"/>
  <c r="G143" i="5"/>
  <c r="I143" i="5"/>
  <c r="K143" i="5"/>
  <c r="B144" i="5"/>
  <c r="D144" i="5"/>
  <c r="E144" i="5"/>
  <c r="F144" i="5"/>
  <c r="G144" i="5"/>
  <c r="I144" i="5"/>
  <c r="K144" i="5"/>
  <c r="B145" i="5"/>
  <c r="D145" i="5"/>
  <c r="E145" i="5"/>
  <c r="F145" i="5"/>
  <c r="G145" i="5"/>
  <c r="I145" i="5"/>
  <c r="K145" i="5"/>
  <c r="B146" i="5"/>
  <c r="D146" i="5"/>
  <c r="E146" i="5"/>
  <c r="F146" i="5"/>
  <c r="G146" i="5"/>
  <c r="I146" i="5"/>
  <c r="K146" i="5"/>
  <c r="B147" i="5"/>
  <c r="D147" i="5"/>
  <c r="E147" i="5"/>
  <c r="F147" i="5"/>
  <c r="G147" i="5"/>
  <c r="I147" i="5"/>
  <c r="K147" i="5"/>
  <c r="B148" i="5"/>
  <c r="D148" i="5"/>
  <c r="E148" i="5"/>
  <c r="F148" i="5"/>
  <c r="G148" i="5"/>
  <c r="I148" i="5"/>
  <c r="K148" i="5"/>
  <c r="B149" i="5"/>
  <c r="D149" i="5"/>
  <c r="E149" i="5"/>
  <c r="F149" i="5"/>
  <c r="G149" i="5"/>
  <c r="I149" i="5"/>
  <c r="K149" i="5"/>
  <c r="B150" i="5"/>
  <c r="D150" i="5"/>
  <c r="E150" i="5"/>
  <c r="F150" i="5"/>
  <c r="G150" i="5"/>
  <c r="I150" i="5"/>
  <c r="K150" i="5"/>
  <c r="B151" i="5"/>
  <c r="D151" i="5"/>
  <c r="E151" i="5"/>
  <c r="F151" i="5"/>
  <c r="G151" i="5"/>
  <c r="I151" i="5"/>
  <c r="K151" i="5"/>
  <c r="B152" i="5"/>
  <c r="D152" i="5"/>
  <c r="E152" i="5"/>
  <c r="F152" i="5"/>
  <c r="G152" i="5"/>
  <c r="I152" i="5"/>
  <c r="K152" i="5"/>
  <c r="O14" i="5"/>
  <c r="O13" i="5"/>
  <c r="O12" i="5"/>
  <c r="O11" i="5"/>
  <c r="O10" i="5"/>
  <c r="O9" i="5"/>
  <c r="O8" i="5"/>
  <c r="O7" i="5"/>
  <c r="O6" i="5"/>
  <c r="O5" i="5"/>
  <c r="O4" i="5"/>
  <c r="N12" i="5" l="1"/>
  <c r="N13" i="5"/>
  <c r="N14" i="5"/>
  <c r="P12" i="5"/>
  <c r="M12" i="5"/>
  <c r="P13" i="5"/>
  <c r="M13" i="5"/>
  <c r="P14" i="5"/>
  <c r="M14" i="5"/>
  <c r="N11" i="5"/>
  <c r="P11" i="5"/>
  <c r="M11" i="5"/>
  <c r="N10" i="5"/>
  <c r="P10" i="5"/>
  <c r="M10" i="5"/>
  <c r="N9" i="5"/>
  <c r="P9" i="5"/>
  <c r="M9" i="5"/>
  <c r="N8" i="5"/>
  <c r="P8" i="5"/>
  <c r="M8" i="5"/>
  <c r="N7" i="5"/>
  <c r="P7" i="5"/>
  <c r="M7" i="5"/>
  <c r="N6" i="5"/>
  <c r="P6" i="5"/>
  <c r="M6" i="5"/>
  <c r="N5" i="5"/>
  <c r="P5" i="5"/>
  <c r="M5" i="5"/>
  <c r="M192" i="1"/>
  <c r="N192" i="1" s="1"/>
  <c r="N192" i="7"/>
  <c r="N4" i="5"/>
  <c r="P4" i="5"/>
  <c r="M4" i="5"/>
  <c r="K3" i="5"/>
  <c r="I3" i="5"/>
  <c r="G3" i="5"/>
  <c r="R3" i="5" s="1"/>
  <c r="Q3" i="5" s="1"/>
  <c r="F3" i="5"/>
  <c r="E3" i="5"/>
  <c r="D3" i="5"/>
  <c r="B3" i="5"/>
  <c r="O3" i="5"/>
  <c r="Q6" i="5" l="1"/>
  <c r="Q5" i="5"/>
  <c r="Q8" i="5"/>
  <c r="Q7" i="5"/>
  <c r="Q4" i="5"/>
  <c r="Q11" i="5"/>
  <c r="Q14" i="5"/>
  <c r="Q10" i="5"/>
  <c r="Q13" i="5"/>
  <c r="Q9" i="5"/>
  <c r="Q12" i="5"/>
  <c r="M3" i="5"/>
  <c r="P3" i="5"/>
  <c r="N3" i="5"/>
  <c r="L9" i="1"/>
  <c r="A17" i="5" l="1"/>
  <c r="A16" i="5"/>
  <c r="A15" i="5"/>
  <c r="N52" i="7"/>
  <c r="N53" i="7"/>
  <c r="N54" i="7"/>
  <c r="N51" i="7"/>
  <c r="N50" i="7"/>
  <c r="N49" i="7"/>
  <c r="N48" i="7"/>
  <c r="N47" i="7"/>
  <c r="N46" i="7"/>
  <c r="N45" i="7"/>
  <c r="N43" i="7"/>
  <c r="A11" i="5"/>
  <c r="L11" i="5" s="1"/>
  <c r="M51" i="1" s="1"/>
  <c r="N51" i="1" s="1"/>
  <c r="A13" i="5"/>
  <c r="L13" i="5" s="1"/>
  <c r="M53" i="1" s="1"/>
  <c r="N53" i="1" s="1"/>
  <c r="A5" i="5"/>
  <c r="L5" i="5" s="1"/>
  <c r="M45" i="1" s="1"/>
  <c r="N45" i="1" s="1"/>
  <c r="A8" i="5"/>
  <c r="L8" i="5" s="1"/>
  <c r="M48" i="1" s="1"/>
  <c r="N48" i="1" s="1"/>
  <c r="A10" i="5"/>
  <c r="L10" i="5" s="1"/>
  <c r="M50" i="1" s="1"/>
  <c r="N50" i="1" s="1"/>
  <c r="A7" i="5"/>
  <c r="L7" i="5" s="1"/>
  <c r="M47" i="1" s="1"/>
  <c r="N47" i="1" s="1"/>
  <c r="A9" i="5"/>
  <c r="L9" i="5" s="1"/>
  <c r="M49" i="1" s="1"/>
  <c r="N49" i="1" s="1"/>
  <c r="A14" i="5"/>
  <c r="L14" i="5" s="1"/>
  <c r="M54" i="1" s="1"/>
  <c r="N54" i="1" s="1"/>
  <c r="A6" i="5"/>
  <c r="L6" i="5" s="1"/>
  <c r="M46" i="1" s="1"/>
  <c r="N46" i="1" s="1"/>
  <c r="A4" i="5"/>
  <c r="L4" i="5" s="1"/>
  <c r="M44" i="1" s="1"/>
  <c r="N44" i="1" s="1"/>
  <c r="A3" i="5"/>
  <c r="L3" i="5" s="1"/>
  <c r="A12" i="5"/>
  <c r="L12" i="5" s="1"/>
  <c r="M52" i="1" s="1"/>
  <c r="N52" i="1" s="1"/>
  <c r="N44" i="7"/>
  <c r="L15" i="5" l="1"/>
  <c r="M55" i="1" s="1"/>
  <c r="N55" i="1" s="1"/>
  <c r="B55" i="1"/>
  <c r="L16" i="5"/>
  <c r="M56" i="1" s="1"/>
  <c r="N56" i="1" s="1"/>
  <c r="B56" i="1"/>
  <c r="L17" i="5"/>
  <c r="M57" i="1" s="1"/>
  <c r="N57" i="1" s="1"/>
  <c r="B57" i="1"/>
  <c r="B53" i="1"/>
  <c r="B54" i="1"/>
  <c r="B43" i="1"/>
  <c r="B46" i="1"/>
  <c r="B49" i="1"/>
  <c r="B47" i="1"/>
  <c r="B45" i="1"/>
  <c r="B51" i="1"/>
  <c r="B50" i="1"/>
  <c r="B44" i="1"/>
  <c r="B52" i="1"/>
  <c r="B48" i="1"/>
  <c r="M43" i="1"/>
  <c r="N43" i="1" s="1"/>
</calcChain>
</file>

<file path=xl/comments1.xml><?xml version="1.0" encoding="utf-8"?>
<comments xmlns="http://schemas.openxmlformats.org/spreadsheetml/2006/main">
  <authors>
    <author>andrew</author>
  </authors>
  <commentList>
    <comment ref="C9" authorId="0" shapeId="0">
      <text>
        <r>
          <rPr>
            <b/>
            <sz val="9"/>
            <color indexed="81"/>
            <rFont val="Tahoma"/>
            <family val="2"/>
          </rPr>
          <t>please provide a short, unique name for your project</t>
        </r>
      </text>
    </comment>
    <comment ref="I15" authorId="0" shapeId="0">
      <text>
        <r>
          <rPr>
            <sz val="9"/>
            <color indexed="81"/>
            <rFont val="Tahoma"/>
            <family val="2"/>
          </rPr>
          <t>add note about pre-enrichment for small RNA seq? (select other, add note)
also for red text, change 'RNA depletion' to 'RNA enrichment' method (more generic) - JKG</t>
        </r>
      </text>
    </comment>
    <comment ref="E18" authorId="0" shapeId="0">
      <text>
        <r>
          <rPr>
            <sz val="9"/>
            <color indexed="81"/>
            <rFont val="Tahoma"/>
            <family val="2"/>
          </rPr>
          <t>add 'RNA' quantification -JKG</t>
        </r>
      </text>
    </comment>
  </commentList>
</comments>
</file>

<file path=xl/comments2.xml><?xml version="1.0" encoding="utf-8"?>
<comments xmlns="http://schemas.openxmlformats.org/spreadsheetml/2006/main">
  <authors>
    <author>andrew</author>
  </authors>
  <commentList>
    <comment ref="C9" authorId="0" shapeId="0">
      <text>
        <r>
          <rPr>
            <b/>
            <sz val="9"/>
            <color indexed="81"/>
            <rFont val="Tahoma"/>
            <family val="2"/>
          </rPr>
          <t>please provide a short, unique name for your project</t>
        </r>
      </text>
    </comment>
    <comment ref="I15" authorId="0" shapeId="0">
      <text>
        <r>
          <rPr>
            <sz val="9"/>
            <color indexed="81"/>
            <rFont val="Tahoma"/>
            <family val="2"/>
          </rPr>
          <t>add note about pre-enrichment for small RNA seq? (select other, add note)
also for red text, change 'RNA depletion' to 'RNA enrichment' method (more generic) - JKG</t>
        </r>
      </text>
    </comment>
    <comment ref="E18" authorId="0" shapeId="0">
      <text>
        <r>
          <rPr>
            <sz val="9"/>
            <color indexed="81"/>
            <rFont val="Tahoma"/>
            <family val="2"/>
          </rPr>
          <t>add 'RNA' quantification -JKG</t>
        </r>
      </text>
    </comment>
  </commentList>
</comments>
</file>

<file path=xl/connections.xml><?xml version="1.0" encoding="utf-8"?>
<connections xmlns="http://schemas.openxmlformats.org/spreadsheetml/2006/main">
  <connection id="1" keepAlive="1" name="Query - Table1" description="Connection to the 'Table1' query in the workbook." type="5" refreshedVersion="6" background="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<sst xmlns="http://schemas.openxmlformats.org/spreadsheetml/2006/main" count="507" uniqueCount="212">
  <si>
    <t>Instructions and important notes</t>
  </si>
  <si>
    <t>Project Information</t>
  </si>
  <si>
    <r>
      <t>Sample Information</t>
    </r>
    <r>
      <rPr>
        <sz val="8"/>
        <color rgb="FFDD0806"/>
        <rFont val="Times New Roman"/>
        <family val="1"/>
      </rPr>
      <t>*</t>
    </r>
  </si>
  <si>
    <t>Full HiSeq lane (110G)</t>
  </si>
  <si>
    <r>
      <t>Equally shared HiSeq lane (</t>
    </r>
    <r>
      <rPr>
        <sz val="10"/>
        <color rgb="FF000000"/>
        <rFont val="Calibri"/>
        <family val="2"/>
      </rPr>
      <t>≥</t>
    </r>
    <r>
      <rPr>
        <sz val="10"/>
        <color rgb="FF000000"/>
        <rFont val="Times New Roman"/>
        <family val="1"/>
      </rPr>
      <t>2 libraries assigned to a particular lane)</t>
    </r>
  </si>
  <si>
    <t>Full NovaSeq S4 lane (800G)</t>
  </si>
  <si>
    <t>Full NovaSeq S2 flowcell (1T)</t>
  </si>
  <si>
    <r>
      <t>Equally shared NovaSeq S2 flowcell (</t>
    </r>
    <r>
      <rPr>
        <sz val="10"/>
        <color rgb="FF000000"/>
        <rFont val="Calibri"/>
        <family val="2"/>
      </rPr>
      <t>≥</t>
    </r>
    <r>
      <rPr>
        <sz val="10"/>
        <color rgb="FF000000"/>
        <rFont val="Times New Roman"/>
        <family val="1"/>
      </rPr>
      <t>2 libraries assigned to a particular lane)</t>
    </r>
  </si>
  <si>
    <t>Unequally shared NovaSeq S2 flowcell (please give details in "remarks")</t>
  </si>
  <si>
    <r>
      <t>Equally shared NovaSeq S4 lane (</t>
    </r>
    <r>
      <rPr>
        <sz val="10"/>
        <color rgb="FF000000"/>
        <rFont val="Calibri"/>
        <family val="2"/>
      </rPr>
      <t>≥</t>
    </r>
    <r>
      <rPr>
        <sz val="10"/>
        <color rgb="FF000000"/>
        <rFont val="Times New Roman"/>
        <family val="1"/>
      </rPr>
      <t>2 libraries assigned to a particular lane)</t>
    </r>
  </si>
  <si>
    <t>Unequally shared NovaSeq S4 lane (please give details in "remarks")</t>
  </si>
  <si>
    <t>Full NovaSeq S4 flowcell (3.2T, four lanes)</t>
  </si>
  <si>
    <t>Other (please describe in notes)</t>
  </si>
  <si>
    <t>Unequally shared HiSeq lane (please give details in notes)</t>
  </si>
  <si>
    <t>Strongly recommended</t>
  </si>
  <si>
    <t>PCR-free library</t>
  </si>
  <si>
    <r>
      <t xml:space="preserve">Required
</t>
    </r>
    <r>
      <rPr>
        <b/>
        <i/>
        <u/>
        <sz val="10"/>
        <rFont val="Times New Roman"/>
        <family val="1"/>
      </rPr>
      <t>Must also</t>
    </r>
    <r>
      <rPr>
        <b/>
        <i/>
        <sz val="10"/>
        <rFont val="Times New Roman"/>
        <family val="1"/>
      </rPr>
      <t xml:space="preserve"> pass other quality control tests</t>
    </r>
  </si>
  <si>
    <t>Use this drop down menu to select desired data output</t>
  </si>
  <si>
    <t>Technical support use only</t>
  </si>
  <si>
    <t>Low diversity library</t>
  </si>
  <si>
    <t>Unbalanced library</t>
  </si>
  <si>
    <t>Needs dilution</t>
  </si>
  <si>
    <t>Needs sample tube combination</t>
  </si>
  <si>
    <t>Custom primer</t>
  </si>
  <si>
    <t>10X Genomics RNA library</t>
  </si>
  <si>
    <t>10X Genomics DNA library</t>
  </si>
  <si>
    <t>Originally FFPE or other embedded sample</t>
  </si>
  <si>
    <t>Custom insert size</t>
  </si>
  <si>
    <t>Had globin removal</t>
  </si>
  <si>
    <t>Unusual data amount</t>
  </si>
  <si>
    <t>PDX or infection/symbiosis</t>
  </si>
  <si>
    <t>Other (please type it in)</t>
  </si>
  <si>
    <t>TREX Sample Submission</t>
  </si>
  <si>
    <t>PI Information</t>
  </si>
  <si>
    <r>
      <t>PI Name</t>
    </r>
    <r>
      <rPr>
        <sz val="8"/>
        <color rgb="FFDD0806"/>
        <rFont val="Times New Roman"/>
        <family val="1"/>
      </rPr>
      <t>*</t>
    </r>
  </si>
  <si>
    <r>
      <t>PI E-mail</t>
    </r>
    <r>
      <rPr>
        <sz val="8"/>
        <color rgb="FFFF0000"/>
        <rFont val="Times New Roman"/>
        <family val="1"/>
      </rPr>
      <t>*</t>
    </r>
  </si>
  <si>
    <r>
      <t>Department</t>
    </r>
    <r>
      <rPr>
        <sz val="8"/>
        <color rgb="FFFF0000"/>
        <rFont val="Times New Roman"/>
        <family val="1"/>
      </rPr>
      <t>*</t>
    </r>
  </si>
  <si>
    <t>Primary Contact</t>
  </si>
  <si>
    <r>
      <t>Name</t>
    </r>
    <r>
      <rPr>
        <sz val="8"/>
        <color rgb="FFFF0000"/>
        <rFont val="Times New Roman"/>
        <family val="1"/>
      </rPr>
      <t>*</t>
    </r>
  </si>
  <si>
    <r>
      <t>e-mail</t>
    </r>
    <r>
      <rPr>
        <sz val="8"/>
        <color rgb="FFFF0000"/>
        <rFont val="Times New Roman"/>
        <family val="1"/>
      </rPr>
      <t>*</t>
    </r>
  </si>
  <si>
    <r>
      <rPr>
        <b/>
        <sz val="8"/>
        <rFont val="Times New Roman"/>
        <family val="1"/>
      </rPr>
      <t>RNA information</t>
    </r>
    <r>
      <rPr>
        <b/>
        <sz val="8"/>
        <color rgb="FFFF0000"/>
        <rFont val="Times New Roman"/>
        <family val="1"/>
      </rPr>
      <t>*</t>
    </r>
    <r>
      <rPr>
        <sz val="8"/>
        <rFont val="Times New Roman"/>
        <family val="1"/>
      </rPr>
      <t xml:space="preserve">
Please answer each question separately; every field is </t>
    </r>
    <r>
      <rPr>
        <b/>
        <sz val="8"/>
        <color rgb="FFFF0000"/>
        <rFont val="Times New Roman"/>
        <family val="1"/>
      </rPr>
      <t>required</t>
    </r>
  </si>
  <si>
    <t>Nanodrop (please provide data)</t>
  </si>
  <si>
    <t>Use this drop down menu to select quality check instrument</t>
  </si>
  <si>
    <t>Fragment Analyzer</t>
  </si>
  <si>
    <t>BioAnalyzer</t>
  </si>
  <si>
    <t xml:space="preserve">Tapestation </t>
  </si>
  <si>
    <t>Gel</t>
  </si>
  <si>
    <t>Other (Please describe in "Notes")</t>
  </si>
  <si>
    <t>Poly A</t>
  </si>
  <si>
    <t>Other (Please clarify in "Notes")</t>
  </si>
  <si>
    <t>Project Notes:</t>
  </si>
  <si>
    <t>Use this drop down menu to select quantification instrument</t>
  </si>
  <si>
    <r>
      <t xml:space="preserve">Library Type: </t>
    </r>
    <r>
      <rPr>
        <i/>
        <sz val="8"/>
        <rFont val="Times New Roman"/>
        <family val="1"/>
      </rPr>
      <t>select from the drop down menu below</t>
    </r>
  </si>
  <si>
    <t>None</t>
  </si>
  <si>
    <r>
      <t>Project Name</t>
    </r>
    <r>
      <rPr>
        <sz val="8"/>
        <color rgb="FFFF0000"/>
        <rFont val="Times New Roman"/>
        <family val="1"/>
      </rPr>
      <t>*</t>
    </r>
  </si>
  <si>
    <t>For TREX use ONLY</t>
  </si>
  <si>
    <t>Project ID #</t>
  </si>
  <si>
    <t>Submission Date</t>
  </si>
  <si>
    <t>Date Received</t>
  </si>
  <si>
    <t>QC Complete</t>
  </si>
  <si>
    <t>Library Type</t>
  </si>
  <si>
    <t>Stranded RNAseq</t>
  </si>
  <si>
    <t>Non-Stranded RNAseq</t>
  </si>
  <si>
    <t>Use Stranded RNA Seq</t>
  </si>
  <si>
    <t>At least 15uL with total input of 20ng</t>
  </si>
  <si>
    <t>At least 15uL with total input of 100ng</t>
  </si>
  <si>
    <t>At least 15uL with total input lower than 20ng</t>
  </si>
  <si>
    <t>At least 15uL with total input &gt;500ng</t>
  </si>
  <si>
    <t>Use this drop down menu to select Read Length</t>
  </si>
  <si>
    <t xml:space="preserve">Sequencing </t>
  </si>
  <si>
    <t>Read Length</t>
  </si>
  <si>
    <t>Read Depth</t>
  </si>
  <si>
    <t>Use this drop down menu to select Read Depth</t>
  </si>
  <si>
    <t>*Human Samples require Confidentiality Agreement*</t>
  </si>
  <si>
    <t>Use this drop down menu to select library type *</t>
  </si>
  <si>
    <r>
      <t xml:space="preserve">Use this drop down menu to select library type </t>
    </r>
    <r>
      <rPr>
        <b/>
        <sz val="10"/>
        <color rgb="FFFF0000"/>
        <rFont val="Times New Roman"/>
        <family val="1"/>
      </rPr>
      <t>*</t>
    </r>
  </si>
  <si>
    <t>At least 15uL with total input of 2000 ng</t>
  </si>
  <si>
    <t>Analysis</t>
  </si>
  <si>
    <t>Species</t>
  </si>
  <si>
    <t>Select Tier for Analysis</t>
  </si>
  <si>
    <t>We offer 4 tiers of analysis, as detailed below, please select which tier you would prefer from the drop down menu provided</t>
  </si>
  <si>
    <r>
      <t xml:space="preserve">1. Tier I (Base): </t>
    </r>
    <r>
      <rPr>
        <sz val="10"/>
        <rFont val="Times New Roman"/>
        <family val="1"/>
      </rPr>
      <t>Data QC and Mapping only. Distribution of QC report, raw counts table, and FASTQ on request.</t>
    </r>
  </si>
  <si>
    <r>
      <rPr>
        <sz val="10"/>
        <color rgb="FFFF0000"/>
        <rFont val="Times New Roman"/>
        <family val="1"/>
      </rPr>
      <t>*</t>
    </r>
    <r>
      <rPr>
        <sz val="10"/>
        <color theme="1"/>
        <rFont val="Times New Roman"/>
        <family val="1"/>
      </rPr>
      <t>Reference Genome</t>
    </r>
  </si>
  <si>
    <t>*Use this drop down menu to select which Tier of Analysis you would like</t>
  </si>
  <si>
    <t>Tier I: Base</t>
  </si>
  <si>
    <t>Tier II: Gene Expression</t>
  </si>
  <si>
    <t>Tier III: Pathogen Identification</t>
  </si>
  <si>
    <t>Custom: Must consult with director PRIOR to project submission</t>
  </si>
  <si>
    <t>Reference (The default will be the most up to date version of your species in Ensembl, if you have a specific assembly or annotation your prefer, please specify it here)</t>
  </si>
  <si>
    <t>Important Instructions for Sample Information</t>
  </si>
  <si>
    <r>
      <rPr>
        <b/>
        <sz val="8"/>
        <rFont val="Times New Roman"/>
        <family val="1"/>
      </rPr>
      <t>Volume</t>
    </r>
    <r>
      <rPr>
        <sz val="8"/>
        <rFont val="Times New Roman"/>
        <family val="1"/>
      </rPr>
      <t xml:space="preserve"> (please submit at least 15uL)</t>
    </r>
  </si>
  <si>
    <r>
      <rPr>
        <sz val="8"/>
        <color rgb="FFFF0000"/>
        <rFont val="Times New Roman"/>
        <family val="1"/>
      </rPr>
      <t>*</t>
    </r>
    <r>
      <rPr>
        <sz val="8"/>
        <rFont val="Times New Roman"/>
        <family val="1"/>
      </rPr>
      <t xml:space="preserve"> </t>
    </r>
    <r>
      <rPr>
        <b/>
        <sz val="8"/>
        <rFont val="Times New Roman"/>
        <family val="1"/>
      </rPr>
      <t>Sample Name</t>
    </r>
    <r>
      <rPr>
        <sz val="8"/>
        <rFont val="Times New Roman"/>
        <family val="1"/>
      </rPr>
      <t xml:space="preserve"> (Designated by customer)</t>
    </r>
  </si>
  <si>
    <t>Remarks (as appropriate)</t>
  </si>
  <si>
    <r>
      <rPr>
        <b/>
        <sz val="8"/>
        <rFont val="Times New Roman"/>
        <family val="1"/>
      </rPr>
      <t>Group/Replicate ID:</t>
    </r>
    <r>
      <rPr>
        <sz val="8"/>
        <rFont val="Times New Roman"/>
        <family val="1"/>
      </rPr>
      <t xml:space="preserve"> (insert group name here) Example: Timepoint</t>
    </r>
  </si>
  <si>
    <t>Group 2/ Replicate ID: (insert group name here) Example: drug treatment</t>
  </si>
  <si>
    <r>
      <t xml:space="preserve">Would you like your sample returned? </t>
    </r>
    <r>
      <rPr>
        <sz val="8"/>
        <color rgb="FFFF0000"/>
        <rFont val="Times New Roman"/>
        <family val="1"/>
      </rPr>
      <t>*</t>
    </r>
  </si>
  <si>
    <t>Qubit (or other intercalating dye system)</t>
  </si>
  <si>
    <t>small RNA</t>
  </si>
  <si>
    <t>RNAseq - non stranded (low input)</t>
  </si>
  <si>
    <t>RNAseq - Stranded (default)</t>
  </si>
  <si>
    <t>Ribosomal Depletion: Human/Rat/Mouse (for animal samples)</t>
  </si>
  <si>
    <t>Ribosomal Depletion: Plant  (must provide depletion kit)</t>
  </si>
  <si>
    <t>None (Please describe why in "Notes")</t>
  </si>
  <si>
    <r>
      <rPr>
        <b/>
        <sz val="10"/>
        <color theme="1"/>
        <rFont val="Times New Roman"/>
        <family val="1"/>
      </rPr>
      <t>4. Custom:</t>
    </r>
    <r>
      <rPr>
        <sz val="10"/>
        <color theme="1"/>
        <rFont val="Times New Roman"/>
        <family val="1"/>
      </rPr>
      <t xml:space="preserve"> Must consult with the Director BEFORE submission. Provide details of consultation in the "Project Notes" section.</t>
    </r>
  </si>
  <si>
    <t>Version 1.0</t>
  </si>
  <si>
    <r>
      <t xml:space="preserve">RNA </t>
    </r>
    <r>
      <rPr>
        <b/>
        <i/>
        <sz val="8"/>
        <rFont val="Times New Roman"/>
        <family val="1"/>
      </rPr>
      <t>enrichment method</t>
    </r>
    <r>
      <rPr>
        <b/>
        <i/>
        <sz val="8"/>
        <color rgb="FF000000"/>
        <rFont val="Times New Roman"/>
        <family val="1"/>
      </rPr>
      <t xml:space="preserve">: </t>
    </r>
    <r>
      <rPr>
        <i/>
        <sz val="8"/>
        <color rgb="FF000000"/>
        <rFont val="Times New Roman"/>
        <family val="1"/>
      </rPr>
      <t>select from the drop down menu below</t>
    </r>
  </si>
  <si>
    <t>RNA Quantification done</t>
  </si>
  <si>
    <r>
      <t>RNA Integrity</t>
    </r>
    <r>
      <rPr>
        <sz val="8"/>
        <color theme="8"/>
        <rFont val="Times New Roman"/>
        <family val="1"/>
      </rPr>
      <t xml:space="preserve"> </t>
    </r>
    <r>
      <rPr>
        <sz val="8"/>
        <rFont val="Times New Roman"/>
        <family val="1"/>
      </rPr>
      <t>Quality Check done</t>
    </r>
  </si>
  <si>
    <r>
      <t xml:space="preserve">If </t>
    </r>
    <r>
      <rPr>
        <sz val="8"/>
        <rFont val="Times New Roman"/>
        <family val="1"/>
      </rPr>
      <t>RNA integrity was checked</t>
    </r>
    <r>
      <rPr>
        <sz val="8"/>
        <color theme="8"/>
        <rFont val="Times New Roman"/>
        <family val="1"/>
      </rPr>
      <t>,</t>
    </r>
    <r>
      <rPr>
        <sz val="8"/>
        <color rgb="FF000000"/>
        <rFont val="Times New Roman"/>
        <family val="1"/>
      </rPr>
      <t xml:space="preserve"> what instrument did you use?</t>
    </r>
  </si>
  <si>
    <t>If RNA samples have been quantified, what instrument did you use? If RNA samples have not been quantified please include details in the notes.</t>
  </si>
  <si>
    <r>
      <t xml:space="preserve">Standard: </t>
    </r>
    <r>
      <rPr>
        <sz val="10"/>
        <rFont val="Times New Roman"/>
        <family val="1"/>
      </rPr>
      <t>75bp SE reads</t>
    </r>
  </si>
  <si>
    <t>Small RNA seq</t>
  </si>
  <si>
    <t>Cell Free RNA</t>
  </si>
  <si>
    <t>Use this drop down menu to select RNA enrichment method *</t>
  </si>
  <si>
    <r>
      <rPr>
        <sz val="10"/>
        <rFont val="Times New Roman"/>
        <family val="1"/>
      </rPr>
      <t>Use this drop down menu to select RNA enrichment method</t>
    </r>
    <r>
      <rPr>
        <sz val="10"/>
        <color rgb="FFFF0000"/>
        <rFont val="Times New Roman"/>
        <family val="1"/>
      </rPr>
      <t xml:space="preserve"> *</t>
    </r>
  </si>
  <si>
    <r>
      <t>Payment Method (Cornell Account)</t>
    </r>
    <r>
      <rPr>
        <sz val="8"/>
        <color rgb="FFFF0000"/>
        <rFont val="Times New Roman"/>
        <family val="1"/>
      </rPr>
      <t>*</t>
    </r>
  </si>
  <si>
    <t>Custom read depth: include details in notes</t>
  </si>
  <si>
    <r>
      <t xml:space="preserve">2. Tier II (Gene Expression Analysis): </t>
    </r>
    <r>
      <rPr>
        <sz val="10"/>
        <rFont val="Times New Roman"/>
        <family val="1"/>
      </rPr>
      <t xml:space="preserve">Base + test/s for differential expression for annotated genes. For this tier it is necessary to submit biological replicates for all conditions and to provide detailed information in the "contrast" section of the sample submission table below. </t>
    </r>
  </si>
  <si>
    <r>
      <t xml:space="preserve">Sample tubes should be labeled with black Sharpie on both the lid AND side of the tube with the </t>
    </r>
    <r>
      <rPr>
        <b/>
        <sz val="12"/>
        <rFont val="Times New Roman"/>
        <family val="1"/>
      </rPr>
      <t>Library Name or Sample Name.</t>
    </r>
  </si>
  <si>
    <t>Yes/No</t>
  </si>
  <si>
    <t>Yes</t>
  </si>
  <si>
    <t>No-We will discard the samples once sequencing is complete</t>
  </si>
  <si>
    <t xml:space="preserve">Number of samples (# of tubes) </t>
  </si>
  <si>
    <t>Yes/No/NA</t>
  </si>
  <si>
    <t>NA- Please describe why in "Notes" field</t>
  </si>
  <si>
    <t>No - Please describe why in "Notes" field</t>
  </si>
  <si>
    <t>How much total total RNA should I send?</t>
  </si>
  <si>
    <r>
      <t xml:space="preserve">3. Tier III (Pathogen ID): </t>
    </r>
    <r>
      <rPr>
        <sz val="10"/>
        <rFont val="Times New Roman"/>
        <family val="1"/>
      </rPr>
      <t>Base + split fastq files into host and non-host reads.</t>
    </r>
    <r>
      <rPr>
        <sz val="10"/>
        <color theme="8"/>
        <rFont val="Times New Roman"/>
        <family val="1"/>
      </rPr>
      <t xml:space="preserve"> </t>
    </r>
  </si>
  <si>
    <r>
      <rPr>
        <b/>
        <sz val="12"/>
        <rFont val="Times New Roman"/>
        <family val="1"/>
      </rPr>
      <t>Sample</t>
    </r>
    <r>
      <rPr>
        <sz val="12"/>
        <rFont val="Times New Roman"/>
        <family val="1"/>
      </rPr>
      <t xml:space="preserve"> and </t>
    </r>
    <r>
      <rPr>
        <b/>
        <sz val="12"/>
        <rFont val="Times New Roman"/>
        <family val="1"/>
      </rPr>
      <t>Group</t>
    </r>
    <r>
      <rPr>
        <sz val="12"/>
        <rFont val="Times New Roman"/>
        <family val="1"/>
      </rPr>
      <t xml:space="preserve"> names need to be ≤ 20 characters and can use letter, number and dash ONLY (NO Spaces or underscores). </t>
    </r>
  </si>
  <si>
    <t>If you have checked your RNA quality (Fragment Analyzer/BioAnalyzer/Tapestation) or quantity (Qubit/Nanodrop), please email a copy of any results along with your submission form</t>
  </si>
  <si>
    <r>
      <t>For data analysis, please define all groups/treatments/replicates</t>
    </r>
    <r>
      <rPr>
        <sz val="12"/>
        <rFont val="Times New Roman"/>
        <family val="1"/>
      </rPr>
      <t>. Refer to the example Sample Information template for further information</t>
    </r>
  </si>
  <si>
    <r>
      <t xml:space="preserve">RNA </t>
    </r>
    <r>
      <rPr>
        <b/>
        <sz val="8"/>
        <rFont val="Times New Roman"/>
        <family val="1"/>
      </rPr>
      <t>Concentration</t>
    </r>
    <r>
      <rPr>
        <sz val="8"/>
        <rFont val="Times New Roman"/>
        <family val="1"/>
      </rPr>
      <t xml:space="preserve"> (ng/uL)</t>
    </r>
  </si>
  <si>
    <r>
      <t>Initials</t>
    </r>
    <r>
      <rPr>
        <sz val="8"/>
        <color rgb="FFFF0000"/>
        <rFont val="Times New Roman"/>
        <family val="1"/>
      </rPr>
      <t>*</t>
    </r>
  </si>
  <si>
    <t>1.</t>
  </si>
  <si>
    <t>2.</t>
  </si>
  <si>
    <t>3.</t>
  </si>
  <si>
    <t>4.</t>
  </si>
  <si>
    <r>
      <t xml:space="preserve">1. Please complete this form electronically with detailed and accurate information. </t>
    </r>
    <r>
      <rPr>
        <b/>
        <sz val="10"/>
        <color theme="1"/>
        <rFont val="Times New Roman"/>
        <family val="1"/>
      </rPr>
      <t>Fields marked with an asterisk (</t>
    </r>
    <r>
      <rPr>
        <b/>
        <sz val="10"/>
        <color rgb="FFFF0000"/>
        <rFont val="Times New Roman"/>
        <family val="1"/>
      </rPr>
      <t>*</t>
    </r>
    <r>
      <rPr>
        <b/>
        <sz val="10"/>
        <color theme="1"/>
        <rFont val="Times New Roman"/>
        <family val="1"/>
      </rPr>
      <t>) are required.</t>
    </r>
    <r>
      <rPr>
        <sz val="10"/>
        <color theme="1"/>
        <rFont val="Times New Roman"/>
        <family val="1"/>
      </rPr>
      <t xml:space="preserve"> Shaded areas are for TREX staff only; please do not edit/change.</t>
    </r>
  </si>
  <si>
    <r>
      <t xml:space="preserve">2. Please </t>
    </r>
    <r>
      <rPr>
        <b/>
        <sz val="10"/>
        <color rgb="FFFF0000"/>
        <rFont val="Times New Roman"/>
        <family val="1"/>
      </rPr>
      <t>send an electronic copy (Excel format)</t>
    </r>
    <r>
      <rPr>
        <b/>
        <sz val="10"/>
        <rFont val="Times New Roman"/>
        <family val="1"/>
      </rPr>
      <t xml:space="preserve"> to TREX (trex_info@cornell.edu) BEFORE you submit your samples.</t>
    </r>
  </si>
  <si>
    <r>
      <t xml:space="preserve">3. Please send samples in </t>
    </r>
    <r>
      <rPr>
        <b/>
        <sz val="10"/>
        <color theme="1"/>
        <rFont val="Times New Roman"/>
        <family val="1"/>
      </rPr>
      <t>1.5 ml microcentrifuge tubes</t>
    </r>
    <r>
      <rPr>
        <sz val="10"/>
        <color theme="1"/>
        <rFont val="Times New Roman"/>
        <family val="1"/>
      </rPr>
      <t>. Incorrect tubes risk delays and handling fees.</t>
    </r>
  </si>
  <si>
    <r>
      <t>4. When labeling bags or boxes for holding tubes please do NOT use Tape as it often comes off at -80.</t>
    </r>
    <r>
      <rPr>
        <sz val="10"/>
        <color theme="8"/>
        <rFont val="Times New Roman"/>
        <family val="1"/>
      </rPr>
      <t xml:space="preserve"> </t>
    </r>
  </si>
  <si>
    <t>Standard:                                          RNASeq: 20 Million reads/sample                                  SmallRNA: 10 Million reads/sample</t>
  </si>
  <si>
    <r>
      <t xml:space="preserve">RQN </t>
    </r>
    <r>
      <rPr>
        <sz val="8"/>
        <rFont val="Times New Roman"/>
        <family val="1"/>
      </rPr>
      <t>(If this section is left blank please comment why in "remarks")</t>
    </r>
  </si>
  <si>
    <t>Sample Name</t>
  </si>
  <si>
    <t>Library Name</t>
  </si>
  <si>
    <t>RQN</t>
  </si>
  <si>
    <t>RNA Concentration</t>
  </si>
  <si>
    <t>Volume</t>
  </si>
  <si>
    <t>Group/Replicate ID</t>
  </si>
  <si>
    <t>Group 2/ Replicate ID</t>
  </si>
  <si>
    <t>Remarks</t>
  </si>
  <si>
    <r>
      <rPr>
        <b/>
        <sz val="8"/>
        <rFont val="Times New Roman"/>
        <family val="1"/>
      </rPr>
      <t>Library Name</t>
    </r>
    <r>
      <rPr>
        <sz val="8"/>
        <rFont val="Times New Roman"/>
        <family val="1"/>
      </rPr>
      <t xml:space="preserve"> (Initials, #) - AUTOFILL</t>
    </r>
  </si>
  <si>
    <t>end</t>
  </si>
  <si>
    <t>If you have more than 150 samples, please contact trex_info@cornell.edu</t>
  </si>
  <si>
    <t>Customer Input Table Mirror</t>
  </si>
  <si>
    <t>has underscore?</t>
  </si>
  <si>
    <t>any non-alphanumeric?</t>
  </si>
  <si>
    <t>Name Checks</t>
  </si>
  <si>
    <t>errors</t>
  </si>
  <si>
    <t>redundant</t>
  </si>
  <si>
    <t>weird char</t>
  </si>
  <si>
    <t>ERROR CODE</t>
  </si>
  <si>
    <t>ERROR TYPE</t>
  </si>
  <si>
    <t>Yes - We will return any remaining sample to you once sequencing is complete</t>
  </si>
  <si>
    <t>combined group repl count</t>
  </si>
  <si>
    <t>combined group</t>
  </si>
  <si>
    <t>Ribosomal Depletion: Bacterial</t>
  </si>
  <si>
    <r>
      <rPr>
        <sz val="8"/>
        <rFont val="Times New Roman"/>
        <family val="1"/>
      </rPr>
      <t xml:space="preserve">Our Standard sequencing length is 75bp SE reads, if you would like a read length </t>
    </r>
    <r>
      <rPr>
        <b/>
        <sz val="8"/>
        <rFont val="Times New Roman"/>
        <family val="1"/>
      </rPr>
      <t>OTHER than 75bp SE you are required to use the whole flowcell.</t>
    </r>
  </si>
  <si>
    <r>
      <rPr>
        <sz val="8"/>
        <rFont val="Times New Roman"/>
        <family val="1"/>
      </rPr>
      <t>Our Standard sequencing depth is</t>
    </r>
    <r>
      <rPr>
        <b/>
        <sz val="8"/>
        <rFont val="Times New Roman"/>
        <family val="1"/>
      </rPr>
      <t xml:space="preserve"> 20 million reads/sample for RNA-Seq, 10 million reads/sample for smRNA-Seq. </t>
    </r>
    <r>
      <rPr>
        <sz val="8"/>
        <rFont val="Times New Roman"/>
        <family val="1"/>
      </rPr>
      <t xml:space="preserve">If you would like additional read depth we provide additional depth in </t>
    </r>
    <r>
      <rPr>
        <b/>
        <sz val="8"/>
        <rFont val="Times New Roman"/>
        <family val="1"/>
      </rPr>
      <t>10 or 20 million read increments</t>
    </r>
    <r>
      <rPr>
        <sz val="8"/>
        <rFont val="Times New Roman"/>
        <family val="1"/>
      </rPr>
      <t>.</t>
    </r>
  </si>
  <si>
    <t>Custom - dedicated flowcell (Please describe in "Notes")</t>
  </si>
  <si>
    <t>Standard - 75nt SE</t>
  </si>
  <si>
    <t>20M reads/sample (standard RNAseq)</t>
  </si>
  <si>
    <t>10M reads/sample (standard small RNA or bacterial RNAseq)</t>
  </si>
  <si>
    <t>My Research Topic</t>
  </si>
  <si>
    <t>Jane Doe</t>
  </si>
  <si>
    <t>jd01@cornell.edu</t>
  </si>
  <si>
    <t>101-0101</t>
  </si>
  <si>
    <t>My PI</t>
  </si>
  <si>
    <t>pi01@cornell.edu</t>
  </si>
  <si>
    <t>My Home</t>
  </si>
  <si>
    <t>Mouse</t>
  </si>
  <si>
    <t>T0-R1</t>
  </si>
  <si>
    <t>T0-R2</t>
  </si>
  <si>
    <t>T0-R3</t>
  </si>
  <si>
    <t>Vehicle-T24-R1</t>
  </si>
  <si>
    <t>Vehicle-T24-R3</t>
  </si>
  <si>
    <t>Vehicle-T24-R2</t>
  </si>
  <si>
    <t>DrugLowDose-T24-R1</t>
  </si>
  <si>
    <t>DrugLowDose-T24-R2</t>
  </si>
  <si>
    <t>DrugLowDose-T24-R3</t>
  </si>
  <si>
    <t>DrugHighDose-T24-R1</t>
  </si>
  <si>
    <t>DrugHighDose-T24-R2</t>
  </si>
  <si>
    <t>DrugHighDose-T24-R3</t>
  </si>
  <si>
    <t>Vehicle</t>
  </si>
  <si>
    <t>Low</t>
  </si>
  <si>
    <t>High</t>
  </si>
  <si>
    <t>Pre</t>
  </si>
  <si>
    <t>JD1</t>
  </si>
  <si>
    <t>JD2</t>
  </si>
  <si>
    <t>JD3</t>
  </si>
  <si>
    <t>JD4</t>
  </si>
  <si>
    <t>JD5</t>
  </si>
  <si>
    <t>JD6</t>
  </si>
  <si>
    <t>JD7</t>
  </si>
  <si>
    <t>JD8</t>
  </si>
  <si>
    <t>JD9</t>
  </si>
  <si>
    <t>JD10</t>
  </si>
  <si>
    <t>JD11</t>
  </si>
  <si>
    <t>JD12</t>
  </si>
  <si>
    <t/>
  </si>
  <si>
    <t>Reference (The default will be the most up to date version for your species at Ensembl. If you have a specific assembly or annotation your prefer, please specify it here)</t>
  </si>
  <si>
    <t>Default (unless changed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</si>
</sst>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5" x14ac:knownFonts="1">
    <font>
      <sz val="10"/>
      <color rgb="FF000000"/>
      <name val="Times New Roman"/>
      <charset val="204"/>
    </font>
    <font>
      <b/>
      <sz val="11"/>
      <name val="Times New Roman"/>
      <family val="1"/>
    </font>
    <font>
      <sz val="8"/>
      <name val="Times New Roman"/>
      <family val="1"/>
    </font>
    <font>
      <b/>
      <sz val="8"/>
      <name val="Times New Roman"/>
      <family val="1"/>
    </font>
    <font>
      <b/>
      <sz val="8"/>
      <color rgb="FFFF0000"/>
      <name val="Times New Roman"/>
      <family val="1"/>
    </font>
    <font>
      <sz val="8"/>
      <color rgb="FFDD0806"/>
      <name val="Times New Roman"/>
      <family val="1"/>
    </font>
    <font>
      <sz val="9"/>
      <name val="Times New Roman"/>
      <family val="1"/>
    </font>
    <font>
      <b/>
      <sz val="11"/>
      <color theme="1"/>
      <name val="Times New Roman"/>
      <family val="1"/>
    </font>
    <font>
      <sz val="8"/>
      <color rgb="FFFF0000"/>
      <name val="Times New Roman"/>
      <family val="1"/>
    </font>
    <font>
      <b/>
      <sz val="8"/>
      <color theme="1"/>
      <name val="Times New Roman"/>
      <family val="1"/>
    </font>
    <font>
      <sz val="8"/>
      <color theme="1"/>
      <name val="Times New Roman"/>
      <family val="1"/>
    </font>
    <font>
      <sz val="10"/>
      <name val="Times New Roman"/>
      <family val="1"/>
    </font>
    <font>
      <sz val="8"/>
      <color rgb="FF000000"/>
      <name val="Times New Roman"/>
      <family val="1"/>
    </font>
    <font>
      <sz val="10"/>
      <color rgb="FF000000"/>
      <name val="Times New Roman"/>
      <family val="1"/>
    </font>
    <font>
      <sz val="10"/>
      <color theme="1"/>
      <name val="Times New Roman"/>
      <family val="1"/>
    </font>
    <font>
      <b/>
      <sz val="9"/>
      <name val="Times New Roman"/>
      <family val="1"/>
    </font>
    <font>
      <sz val="9"/>
      <color rgb="FF000000"/>
      <name val="Times New Roman"/>
      <family val="1"/>
    </font>
    <font>
      <sz val="10"/>
      <color rgb="FF000000"/>
      <name val="Calibri"/>
      <family val="2"/>
    </font>
    <font>
      <sz val="12"/>
      <name val="Times New Roman"/>
      <family val="1"/>
    </font>
    <font>
      <b/>
      <sz val="12"/>
      <color theme="1"/>
      <name val="Times New Roman"/>
      <family val="1"/>
    </font>
    <font>
      <b/>
      <i/>
      <sz val="12"/>
      <name val="Times New Roman"/>
      <family val="1"/>
    </font>
    <font>
      <sz val="12"/>
      <color rgb="FF000000"/>
      <name val="Times New Roman"/>
      <family val="1"/>
    </font>
    <font>
      <b/>
      <i/>
      <sz val="10"/>
      <name val="Times New Roman"/>
      <family val="1"/>
    </font>
    <font>
      <sz val="10"/>
      <color rgb="FFFF0000"/>
      <name val="Times New Roman"/>
      <family val="1"/>
    </font>
    <font>
      <b/>
      <i/>
      <sz val="8"/>
      <color rgb="FF000000"/>
      <name val="Times New Roman"/>
      <family val="1"/>
    </font>
    <font>
      <b/>
      <i/>
      <sz val="8"/>
      <name val="Times New Roman"/>
      <family val="1"/>
    </font>
    <font>
      <b/>
      <i/>
      <u/>
      <sz val="10"/>
      <name val="Times New Roman"/>
      <family val="1"/>
    </font>
    <font>
      <b/>
      <sz val="12"/>
      <name val="Times New Roman"/>
      <family val="1"/>
    </font>
    <font>
      <sz val="11"/>
      <name val="Times New Roman"/>
      <family val="1"/>
    </font>
    <font>
      <sz val="11"/>
      <color rgb="FF000000"/>
      <name val="Times New Roman"/>
      <family val="1"/>
    </font>
    <font>
      <u/>
      <sz val="10"/>
      <color theme="10"/>
      <name val="Times New Roman"/>
      <family val="1"/>
    </font>
    <font>
      <b/>
      <sz val="10"/>
      <color theme="0"/>
      <name val="Times New Roman"/>
      <family val="1"/>
    </font>
    <font>
      <sz val="10"/>
      <color theme="0"/>
      <name val="Times New Roman"/>
      <family val="1"/>
    </font>
    <font>
      <b/>
      <sz val="10"/>
      <color rgb="FFFF0000"/>
      <name val="Times New Roman"/>
      <family val="1"/>
    </font>
    <font>
      <b/>
      <sz val="10"/>
      <color rgb="FF000000"/>
      <name val="Times New Roman"/>
      <family val="1"/>
    </font>
    <font>
      <i/>
      <sz val="8"/>
      <name val="Times New Roman"/>
      <family val="1"/>
    </font>
    <font>
      <i/>
      <sz val="8"/>
      <color rgb="FF000000"/>
      <name val="Times New Roman"/>
      <family val="1"/>
    </font>
    <font>
      <b/>
      <sz val="10"/>
      <name val="Times New Roman"/>
      <family val="1"/>
    </font>
    <font>
      <b/>
      <sz val="10"/>
      <color theme="1"/>
      <name val="Times New Roman"/>
      <family val="1"/>
    </font>
    <font>
      <sz val="10"/>
      <color theme="8"/>
      <name val="Times New Roman"/>
      <family val="1"/>
    </font>
    <font>
      <sz val="8"/>
      <color theme="8"/>
      <name val="Times New Roman"/>
      <family val="1"/>
    </font>
    <font>
      <sz val="9"/>
      <color indexed="81"/>
      <name val="Tahoma"/>
      <family val="2"/>
    </font>
    <font>
      <b/>
      <sz val="9"/>
      <color indexed="81"/>
      <name val="Tahoma"/>
      <family val="2"/>
    </font>
    <font>
      <i/>
      <sz val="10"/>
      <name val="Times New Roman"/>
      <family val="1"/>
    </font>
    <font>
      <i/>
      <sz val="10"/>
      <color rgb="FF000000"/>
      <name val="Times New Roman"/>
      <family val="1"/>
    </font>
  </fonts>
  <fills count="6">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0" tint="-0.14999847407452621"/>
        <bgColor indexed="64"/>
      </patternFill>
    </fill>
  </fills>
  <borders count="5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style="thin">
        <color auto="1"/>
      </left>
      <right/>
      <top/>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style="thin">
        <color auto="1"/>
      </right>
      <top style="thin">
        <color auto="1"/>
      </top>
      <bottom/>
      <diagonal/>
    </border>
    <border>
      <left/>
      <right/>
      <top style="thin">
        <color indexed="64"/>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right style="medium">
        <color indexed="64"/>
      </right>
      <top style="thin">
        <color auto="1"/>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diagonal/>
    </border>
    <border>
      <left style="thin">
        <color auto="1"/>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medium">
        <color indexed="64"/>
      </top>
      <bottom style="thin">
        <color auto="1"/>
      </bottom>
      <diagonal/>
    </border>
    <border>
      <left style="medium">
        <color indexed="64"/>
      </left>
      <right style="thin">
        <color auto="1"/>
      </right>
      <top/>
      <bottom/>
      <diagonal/>
    </border>
    <border>
      <left/>
      <right style="medium">
        <color indexed="64"/>
      </right>
      <top style="thin">
        <color auto="1"/>
      </top>
      <bottom style="thin">
        <color auto="1"/>
      </bottom>
      <diagonal/>
    </border>
    <border>
      <left style="medium">
        <color indexed="64"/>
      </left>
      <right style="thin">
        <color auto="1"/>
      </right>
      <top/>
      <bottom style="medium">
        <color indexed="64"/>
      </bottom>
      <diagonal/>
    </border>
    <border>
      <left/>
      <right style="medium">
        <color indexed="64"/>
      </right>
      <top style="medium">
        <color indexed="64"/>
      </top>
      <bottom/>
      <diagonal/>
    </border>
    <border>
      <left style="medium">
        <color indexed="64"/>
      </left>
      <right style="thin">
        <color auto="1"/>
      </right>
      <top style="thin">
        <color auto="1"/>
      </top>
      <bottom style="medium">
        <color indexed="64"/>
      </bottom>
      <diagonal/>
    </border>
    <border>
      <left/>
      <right style="thin">
        <color auto="1"/>
      </right>
      <top/>
      <bottom/>
      <diagonal/>
    </border>
    <border>
      <left/>
      <right style="medium">
        <color indexed="64"/>
      </right>
      <top style="thin">
        <color auto="1"/>
      </top>
      <bottom/>
      <diagonal/>
    </border>
    <border>
      <left/>
      <right style="medium">
        <color indexed="64"/>
      </right>
      <top/>
      <bottom style="thin">
        <color auto="1"/>
      </bottom>
      <diagonal/>
    </border>
    <border>
      <left style="thin">
        <color auto="1"/>
      </left>
      <right style="thin">
        <color auto="1"/>
      </right>
      <top style="medium">
        <color indexed="64"/>
      </top>
      <bottom/>
      <diagonal/>
    </border>
    <border>
      <left/>
      <right style="thin">
        <color auto="1"/>
      </right>
      <top style="medium">
        <color indexed="64"/>
      </top>
      <bottom style="thin">
        <color auto="1"/>
      </bottom>
      <diagonal/>
    </border>
    <border>
      <left style="medium">
        <color indexed="64"/>
      </left>
      <right/>
      <top/>
      <bottom style="thin">
        <color auto="1"/>
      </bottom>
      <diagonal/>
    </border>
    <border>
      <left/>
      <right style="thin">
        <color auto="1"/>
      </right>
      <top style="medium">
        <color indexed="64"/>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s>
  <cellStyleXfs count="4">
    <xf numFmtId="0" fontId="0" fillId="0" borderId="0"/>
    <xf numFmtId="0" fontId="13" fillId="0" borderId="0"/>
    <xf numFmtId="0" fontId="13" fillId="0" borderId="0"/>
    <xf numFmtId="0" fontId="30" fillId="0" borderId="0" applyNumberFormat="0" applyFill="0" applyBorder="0" applyAlignment="0" applyProtection="0"/>
  </cellStyleXfs>
  <cellXfs count="218">
    <xf numFmtId="0" fontId="0" fillId="0" borderId="0" xfId="0" applyAlignment="1">
      <alignment horizontal="left" vertical="top"/>
    </xf>
    <xf numFmtId="0" fontId="14" fillId="0" borderId="0" xfId="0" applyFont="1" applyAlignment="1">
      <alignment vertical="center"/>
    </xf>
    <xf numFmtId="0" fontId="16" fillId="0" borderId="0" xfId="0" applyFont="1" applyAlignment="1">
      <alignment horizontal="center" vertical="center"/>
    </xf>
    <xf numFmtId="0" fontId="13" fillId="0" borderId="0" xfId="0" applyFont="1" applyAlignment="1">
      <alignment horizontal="left" vertical="top"/>
    </xf>
    <xf numFmtId="0" fontId="13" fillId="0" borderId="0" xfId="0" applyFont="1" applyAlignment="1">
      <alignment horizontal="center" vertical="center"/>
    </xf>
    <xf numFmtId="0" fontId="11" fillId="0" borderId="0" xfId="1" applyFont="1" applyAlignment="1">
      <alignment vertical="top" wrapText="1"/>
    </xf>
    <xf numFmtId="0" fontId="2" fillId="0" borderId="1" xfId="0" applyFont="1" applyBorder="1" applyAlignment="1">
      <alignment horizontal="center" vertical="center" wrapText="1"/>
    </xf>
    <xf numFmtId="0" fontId="12" fillId="0" borderId="1" xfId="0" applyFont="1" applyFill="1" applyBorder="1" applyAlignment="1">
      <alignment horizontal="center" vertical="center"/>
    </xf>
    <xf numFmtId="0" fontId="32" fillId="0" borderId="0" xfId="1" applyFont="1" applyAlignment="1">
      <alignment vertical="top"/>
    </xf>
    <xf numFmtId="0" fontId="31" fillId="0" borderId="0" xfId="1" applyFont="1" applyAlignment="1">
      <alignment vertical="top" wrapText="1"/>
    </xf>
    <xf numFmtId="0" fontId="3" fillId="0" borderId="0" xfId="1" applyFont="1" applyBorder="1" applyAlignment="1">
      <alignment horizontal="center" vertical="center" wrapText="1"/>
    </xf>
    <xf numFmtId="0" fontId="14" fillId="0" borderId="0" xfId="0" applyFont="1" applyBorder="1" applyAlignment="1">
      <alignment vertical="center"/>
    </xf>
    <xf numFmtId="0" fontId="37" fillId="0" borderId="29" xfId="1" applyFont="1" applyBorder="1" applyAlignment="1">
      <alignment vertical="center" wrapText="1"/>
    </xf>
    <xf numFmtId="0" fontId="37" fillId="0" borderId="33" xfId="1" applyFont="1" applyBorder="1" applyAlignment="1">
      <alignment vertical="center" wrapText="1"/>
    </xf>
    <xf numFmtId="0" fontId="14" fillId="0" borderId="0" xfId="0" applyFont="1" applyBorder="1" applyAlignment="1">
      <alignment horizontal="center" vertical="center"/>
    </xf>
    <xf numFmtId="0" fontId="28" fillId="0" borderId="0" xfId="0" applyFont="1" applyBorder="1" applyAlignment="1">
      <alignment horizontal="center" vertical="center" wrapText="1"/>
    </xf>
    <xf numFmtId="0" fontId="2" fillId="0" borderId="0" xfId="0" applyFont="1" applyBorder="1" applyAlignment="1">
      <alignment horizontal="center" vertical="center" wrapText="1"/>
    </xf>
    <xf numFmtId="0" fontId="10" fillId="4" borderId="11" xfId="0" applyFont="1" applyFill="1" applyBorder="1" applyAlignment="1">
      <alignment horizontal="left" vertical="top" wrapText="1"/>
    </xf>
    <xf numFmtId="0" fontId="2" fillId="0" borderId="29" xfId="0" applyFont="1" applyFill="1" applyBorder="1" applyAlignment="1">
      <alignment horizontal="center" vertical="center" wrapText="1"/>
    </xf>
    <xf numFmtId="0" fontId="2" fillId="0" borderId="33" xfId="0" applyFont="1" applyBorder="1" applyAlignment="1">
      <alignment horizontal="center" vertical="center" wrapText="1"/>
    </xf>
    <xf numFmtId="0" fontId="13" fillId="0" borderId="0" xfId="0" applyFont="1" applyBorder="1" applyAlignment="1">
      <alignment horizontal="center" vertical="center" wrapText="1"/>
    </xf>
    <xf numFmtId="0" fontId="12" fillId="0" borderId="0" xfId="0" applyFont="1" applyBorder="1" applyAlignment="1">
      <alignment horizontal="center" vertical="center"/>
    </xf>
    <xf numFmtId="0" fontId="12" fillId="0" borderId="43" xfId="0" applyFont="1" applyBorder="1" applyAlignment="1">
      <alignment horizontal="center" vertical="center"/>
    </xf>
    <xf numFmtId="0" fontId="12" fillId="0" borderId="0" xfId="0" applyFont="1" applyBorder="1" applyAlignment="1">
      <alignment horizontal="left" vertical="top" wrapText="1"/>
    </xf>
    <xf numFmtId="0" fontId="13" fillId="0" borderId="0" xfId="0" applyFont="1" applyBorder="1" applyAlignment="1">
      <alignment horizontal="left" vertical="top"/>
    </xf>
    <xf numFmtId="0" fontId="13" fillId="0" borderId="27" xfId="0" applyFont="1" applyBorder="1" applyAlignment="1">
      <alignment horizontal="left" vertical="top"/>
    </xf>
    <xf numFmtId="0" fontId="2" fillId="0" borderId="5" xfId="0" applyFont="1" applyBorder="1" applyAlignment="1">
      <alignment horizontal="center" vertical="center" wrapText="1"/>
    </xf>
    <xf numFmtId="0" fontId="30" fillId="0" borderId="0" xfId="3" applyBorder="1" applyAlignment="1">
      <alignment horizontal="center" vertical="center" wrapText="1"/>
    </xf>
    <xf numFmtId="0" fontId="18" fillId="0" borderId="0" xfId="0" applyFont="1" applyBorder="1" applyAlignment="1">
      <alignment horizontal="center" vertical="center" wrapText="1"/>
    </xf>
    <xf numFmtId="0" fontId="19" fillId="0" borderId="0" xfId="0" applyFont="1" applyBorder="1" applyAlignment="1">
      <alignment horizontal="center" vertical="center" wrapText="1"/>
    </xf>
    <xf numFmtId="0" fontId="20" fillId="0" borderId="0" xfId="0" applyFont="1" applyBorder="1" applyAlignment="1">
      <alignment horizontal="center" vertical="center" wrapText="1"/>
    </xf>
    <xf numFmtId="0" fontId="27" fillId="0" borderId="0" xfId="1" applyFont="1" applyBorder="1" applyAlignment="1">
      <alignment horizontal="center" vertical="center" wrapText="1"/>
    </xf>
    <xf numFmtId="0" fontId="37" fillId="0" borderId="0" xfId="1" applyFont="1" applyBorder="1" applyAlignment="1">
      <alignment vertical="center" wrapText="1"/>
    </xf>
    <xf numFmtId="0" fontId="7" fillId="0" borderId="0" xfId="0" applyFont="1" applyBorder="1" applyAlignment="1">
      <alignment horizontal="right" vertical="center" wrapText="1"/>
    </xf>
    <xf numFmtId="0" fontId="39" fillId="0" borderId="0" xfId="0" applyFont="1" applyAlignment="1">
      <alignment horizontal="left" vertical="top"/>
    </xf>
    <xf numFmtId="0" fontId="13" fillId="0" borderId="0" xfId="0" applyFont="1" applyFill="1" applyAlignment="1">
      <alignment horizontal="center" vertical="center"/>
    </xf>
    <xf numFmtId="0" fontId="39" fillId="0" borderId="0" xfId="0" applyFont="1" applyAlignment="1">
      <alignment horizontal="center" vertical="center"/>
    </xf>
    <xf numFmtId="0" fontId="39" fillId="0" borderId="0" xfId="0" applyFont="1" applyFill="1" applyAlignment="1">
      <alignment horizontal="center" vertical="center"/>
    </xf>
    <xf numFmtId="0" fontId="39" fillId="0" borderId="0" xfId="0" applyFont="1" applyAlignment="1">
      <alignment horizontal="center" vertical="center" wrapText="1"/>
    </xf>
    <xf numFmtId="0" fontId="39" fillId="0" borderId="0" xfId="0" applyFont="1" applyAlignment="1">
      <alignment horizontal="left" vertical="center"/>
    </xf>
    <xf numFmtId="0" fontId="13" fillId="0" borderId="0" xfId="0" applyFont="1" applyBorder="1" applyAlignment="1">
      <alignment horizontal="center" vertical="center"/>
    </xf>
    <xf numFmtId="0" fontId="2" fillId="0" borderId="37" xfId="0" applyFont="1" applyFill="1" applyBorder="1" applyAlignment="1">
      <alignment horizontal="center" vertical="center" wrapText="1"/>
    </xf>
    <xf numFmtId="0" fontId="12" fillId="0" borderId="1" xfId="0" applyFont="1" applyBorder="1" applyAlignment="1">
      <alignment horizontal="center" vertical="center" wrapText="1"/>
    </xf>
    <xf numFmtId="0" fontId="13" fillId="0" borderId="0" xfId="0" applyFont="1" applyBorder="1" applyAlignment="1">
      <alignment horizontal="center" vertical="center"/>
    </xf>
    <xf numFmtId="0" fontId="2" fillId="0" borderId="0" xfId="0" applyFont="1" applyBorder="1" applyAlignment="1">
      <alignment horizontal="center" vertical="center" wrapText="1"/>
    </xf>
    <xf numFmtId="0" fontId="2" fillId="0" borderId="37" xfId="0" applyFont="1" applyFill="1" applyBorder="1" applyAlignment="1">
      <alignment horizontal="center" vertical="center" wrapText="1"/>
    </xf>
    <xf numFmtId="0" fontId="13" fillId="0" borderId="0" xfId="0" applyFont="1" applyBorder="1" applyAlignment="1">
      <alignment horizontal="left" vertical="top"/>
    </xf>
    <xf numFmtId="0" fontId="13" fillId="0" borderId="27" xfId="0" applyFont="1" applyBorder="1" applyAlignment="1">
      <alignment horizontal="left" vertical="top"/>
    </xf>
    <xf numFmtId="0" fontId="27" fillId="0" borderId="0" xfId="1" applyFont="1" applyBorder="1" applyAlignment="1">
      <alignment horizontal="center" vertical="center" wrapText="1"/>
    </xf>
    <xf numFmtId="0" fontId="10" fillId="4" borderId="33" xfId="0" applyFont="1" applyFill="1" applyBorder="1" applyAlignment="1">
      <alignment horizontal="left" vertical="top" wrapText="1"/>
    </xf>
    <xf numFmtId="49" fontId="27" fillId="0" borderId="0" xfId="1" applyNumberFormat="1" applyFont="1" applyBorder="1" applyAlignment="1" applyProtection="1">
      <alignment horizontal="right" vertical="center"/>
      <protection locked="0"/>
    </xf>
    <xf numFmtId="0" fontId="13" fillId="0" borderId="0" xfId="0" applyFont="1" applyAlignment="1">
      <alignment horizontal="left" vertical="top" wrapText="1"/>
    </xf>
    <xf numFmtId="0" fontId="2" fillId="4" borderId="29" xfId="0" applyFont="1" applyFill="1" applyBorder="1" applyAlignment="1">
      <alignment horizontal="center" vertical="center" wrapText="1"/>
    </xf>
    <xf numFmtId="0" fontId="13" fillId="4" borderId="41" xfId="0" applyFont="1" applyFill="1" applyBorder="1" applyAlignment="1">
      <alignment horizontal="center" vertical="center"/>
    </xf>
    <xf numFmtId="0" fontId="10" fillId="4" borderId="11" xfId="0" applyFont="1" applyFill="1" applyBorder="1" applyAlignment="1">
      <alignment horizontal="center" vertical="top" wrapText="1"/>
    </xf>
    <xf numFmtId="0" fontId="14" fillId="0" borderId="35" xfId="0" applyFont="1" applyBorder="1" applyAlignment="1">
      <alignment horizontal="center" vertical="center" wrapText="1"/>
    </xf>
    <xf numFmtId="0" fontId="14" fillId="0" borderId="36" xfId="0" applyFont="1" applyBorder="1" applyAlignment="1">
      <alignment horizontal="center" vertical="center" wrapText="1"/>
    </xf>
    <xf numFmtId="0" fontId="14" fillId="0" borderId="33" xfId="0" applyFont="1" applyBorder="1" applyAlignment="1">
      <alignment horizontal="left" vertical="center" wrapText="1"/>
    </xf>
    <xf numFmtId="0" fontId="27" fillId="0" borderId="7" xfId="1" applyFont="1" applyBorder="1" applyAlignment="1">
      <alignment horizontal="center" vertical="center" wrapText="1"/>
    </xf>
    <xf numFmtId="0" fontId="27" fillId="0" borderId="9" xfId="1" applyFont="1" applyBorder="1" applyAlignment="1">
      <alignment horizontal="center" vertical="center" wrapText="1"/>
    </xf>
    <xf numFmtId="0" fontId="27" fillId="0" borderId="10" xfId="1" applyFont="1" applyBorder="1" applyAlignment="1">
      <alignment horizontal="center" vertical="center" wrapText="1"/>
    </xf>
    <xf numFmtId="0" fontId="37" fillId="0" borderId="47" xfId="1" applyFont="1" applyBorder="1" applyAlignment="1">
      <alignment horizontal="center" vertical="center" wrapText="1"/>
    </xf>
    <xf numFmtId="0" fontId="37" fillId="0" borderId="29" xfId="1" applyFont="1" applyBorder="1" applyAlignment="1">
      <alignment horizontal="center" vertical="center" wrapText="1"/>
    </xf>
    <xf numFmtId="0" fontId="14" fillId="0" borderId="29" xfId="0" applyFont="1" applyBorder="1" applyAlignment="1">
      <alignment horizontal="center" vertical="center"/>
    </xf>
    <xf numFmtId="0" fontId="14" fillId="0" borderId="18" xfId="0" applyFont="1" applyBorder="1" applyAlignment="1">
      <alignment horizontal="center" vertical="center"/>
    </xf>
    <xf numFmtId="0" fontId="37" fillId="0" borderId="6" xfId="1" applyFont="1" applyBorder="1" applyAlignment="1">
      <alignment horizontal="center" vertical="center" wrapText="1"/>
    </xf>
    <xf numFmtId="0" fontId="37" fillId="0" borderId="36" xfId="1" applyFont="1" applyBorder="1" applyAlignment="1">
      <alignment horizontal="center" vertical="center" wrapText="1"/>
    </xf>
    <xf numFmtId="0" fontId="37" fillId="0" borderId="1" xfId="1" applyFont="1" applyBorder="1" applyAlignment="1">
      <alignment horizontal="left" vertical="center" wrapText="1"/>
    </xf>
    <xf numFmtId="0" fontId="37" fillId="0" borderId="1" xfId="1" applyFont="1" applyBorder="1" applyAlignment="1">
      <alignment vertical="center" wrapText="1"/>
    </xf>
    <xf numFmtId="0" fontId="2" fillId="0" borderId="3" xfId="0" applyFont="1" applyBorder="1" applyAlignment="1">
      <alignment horizontal="center" vertical="center" wrapText="1"/>
    </xf>
    <xf numFmtId="0" fontId="37" fillId="0" borderId="4" xfId="1" applyFont="1" applyBorder="1" applyAlignment="1">
      <alignment horizontal="left" vertical="top" wrapText="1"/>
    </xf>
    <xf numFmtId="0" fontId="37" fillId="0" borderId="13" xfId="1" applyFont="1" applyBorder="1" applyAlignment="1">
      <alignment horizontal="left" vertical="top" wrapText="1"/>
    </xf>
    <xf numFmtId="0" fontId="37" fillId="0" borderId="6" xfId="1" applyFont="1" applyBorder="1" applyAlignment="1">
      <alignment horizontal="left" vertical="top" wrapText="1"/>
    </xf>
    <xf numFmtId="0" fontId="18" fillId="3" borderId="28" xfId="0" applyFont="1" applyFill="1" applyBorder="1" applyAlignment="1">
      <alignment horizontal="center" vertical="center" wrapText="1"/>
    </xf>
    <xf numFmtId="0" fontId="18" fillId="3" borderId="29" xfId="0" applyFont="1" applyFill="1" applyBorder="1" applyAlignment="1">
      <alignment horizontal="center" vertical="center" wrapText="1"/>
    </xf>
    <xf numFmtId="0" fontId="18" fillId="3" borderId="18" xfId="0" applyFont="1" applyFill="1" applyBorder="1" applyAlignment="1">
      <alignment horizontal="center" vertical="center" wrapText="1"/>
    </xf>
    <xf numFmtId="0" fontId="21" fillId="0" borderId="30" xfId="0" applyFont="1" applyBorder="1" applyAlignment="1">
      <alignment horizontal="center" vertical="center" wrapText="1"/>
    </xf>
    <xf numFmtId="0" fontId="21" fillId="0" borderId="1" xfId="0" applyFont="1" applyBorder="1" applyAlignment="1">
      <alignment horizontal="center" vertical="center" wrapText="1"/>
    </xf>
    <xf numFmtId="0" fontId="21" fillId="0" borderId="19" xfId="0" applyFont="1" applyBorder="1" applyAlignment="1">
      <alignment horizontal="center" vertical="center" wrapText="1"/>
    </xf>
    <xf numFmtId="0" fontId="18" fillId="0" borderId="42" xfId="0" applyFont="1" applyBorder="1" applyAlignment="1">
      <alignment horizontal="center" vertical="center" wrapText="1"/>
    </xf>
    <xf numFmtId="0" fontId="18" fillId="0" borderId="33" xfId="0" applyFont="1" applyBorder="1" applyAlignment="1">
      <alignment horizontal="center" vertical="center" wrapText="1"/>
    </xf>
    <xf numFmtId="0" fontId="18" fillId="0" borderId="21" xfId="0" applyFont="1" applyBorder="1" applyAlignment="1">
      <alignment horizontal="center" vertical="center" wrapText="1"/>
    </xf>
    <xf numFmtId="0" fontId="20" fillId="3" borderId="29"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21" fillId="3" borderId="17" xfId="0" applyFont="1" applyFill="1" applyBorder="1" applyAlignment="1">
      <alignment horizontal="center" vertical="center" wrapText="1"/>
    </xf>
    <xf numFmtId="0" fontId="21" fillId="3" borderId="32" xfId="0" applyFont="1" applyFill="1" applyBorder="1" applyAlignment="1">
      <alignment horizontal="center" vertical="center" wrapText="1"/>
    </xf>
    <xf numFmtId="0" fontId="3" fillId="0" borderId="29" xfId="1" applyFont="1" applyBorder="1" applyAlignment="1">
      <alignment horizontal="center" vertical="center" wrapText="1"/>
    </xf>
    <xf numFmtId="0" fontId="3" fillId="0" borderId="33" xfId="1" applyFont="1" applyBorder="1" applyAlignment="1">
      <alignment horizontal="center" vertical="center" wrapText="1"/>
    </xf>
    <xf numFmtId="0" fontId="14" fillId="0" borderId="33" xfId="0" applyFont="1" applyBorder="1" applyAlignment="1">
      <alignment horizontal="center" vertical="center"/>
    </xf>
    <xf numFmtId="0" fontId="6" fillId="0" borderId="0" xfId="0" applyFont="1" applyBorder="1" applyAlignment="1">
      <alignment horizontal="left" vertical="top" wrapText="1"/>
    </xf>
    <xf numFmtId="0" fontId="19" fillId="0" borderId="34" xfId="0" applyFont="1" applyBorder="1" applyAlignment="1">
      <alignment horizontal="center" vertical="center" wrapText="1"/>
    </xf>
    <xf numFmtId="0" fontId="19" fillId="0" borderId="38" xfId="0" applyFont="1" applyBorder="1" applyAlignment="1">
      <alignment horizontal="center" vertical="center" wrapText="1"/>
    </xf>
    <xf numFmtId="0" fontId="19" fillId="0" borderId="40" xfId="0" applyFont="1" applyBorder="1" applyAlignment="1">
      <alignment horizontal="center" vertical="center" wrapText="1"/>
    </xf>
    <xf numFmtId="0" fontId="25" fillId="0" borderId="16" xfId="0" applyFont="1" applyBorder="1" applyAlignment="1">
      <alignment horizontal="center" vertical="center" wrapText="1"/>
    </xf>
    <xf numFmtId="0" fontId="25" fillId="0" borderId="17" xfId="0" applyFont="1" applyBorder="1" applyAlignment="1">
      <alignment horizontal="center" vertical="center" wrapText="1"/>
    </xf>
    <xf numFmtId="0" fontId="25" fillId="0" borderId="32" xfId="0" applyFont="1" applyBorder="1" applyAlignment="1">
      <alignment horizontal="center" vertical="center" wrapText="1"/>
    </xf>
    <xf numFmtId="0" fontId="2" fillId="0" borderId="2" xfId="0" applyFont="1" applyBorder="1" applyAlignment="1">
      <alignment horizontal="center" vertical="center" wrapText="1"/>
    </xf>
    <xf numFmtId="0" fontId="18" fillId="0" borderId="1" xfId="0" applyFont="1" applyBorder="1" applyAlignment="1">
      <alignment horizontal="center" vertical="center" wrapText="1"/>
    </xf>
    <xf numFmtId="0" fontId="20" fillId="0" borderId="1" xfId="0" applyFont="1" applyBorder="1" applyAlignment="1">
      <alignment horizontal="center" vertical="center" wrapText="1"/>
    </xf>
    <xf numFmtId="0" fontId="20" fillId="0" borderId="33" xfId="0" applyFont="1" applyBorder="1" applyAlignment="1">
      <alignment horizontal="center" vertical="center" wrapText="1"/>
    </xf>
    <xf numFmtId="0" fontId="12" fillId="0" borderId="20" xfId="0" applyFont="1" applyBorder="1" applyAlignment="1">
      <alignment horizontal="center" vertical="center" wrapText="1"/>
    </xf>
    <xf numFmtId="0" fontId="12" fillId="0" borderId="36" xfId="0" applyFont="1" applyBorder="1" applyAlignment="1">
      <alignment horizontal="center" vertical="center" wrapText="1"/>
    </xf>
    <xf numFmtId="0" fontId="2" fillId="0" borderId="13" xfId="0" applyFont="1" applyBorder="1" applyAlignment="1">
      <alignment horizontal="center" vertical="center" wrapText="1"/>
    </xf>
    <xf numFmtId="0" fontId="2" fillId="0" borderId="6" xfId="0" applyFont="1" applyBorder="1" applyAlignment="1">
      <alignment horizontal="center" vertical="center" wrapText="1"/>
    </xf>
    <xf numFmtId="0" fontId="21" fillId="0" borderId="4" xfId="0" applyFont="1" applyBorder="1" applyAlignment="1">
      <alignment horizontal="center" vertical="center" wrapText="1"/>
    </xf>
    <xf numFmtId="0" fontId="21" fillId="0" borderId="13" xfId="0" applyFont="1" applyBorder="1" applyAlignment="1">
      <alignment horizontal="center" vertical="center" wrapText="1"/>
    </xf>
    <xf numFmtId="0" fontId="21" fillId="0" borderId="39" xfId="0" applyFont="1" applyBorder="1" applyAlignment="1">
      <alignment horizontal="center" vertical="center" wrapText="1"/>
    </xf>
    <xf numFmtId="0" fontId="18" fillId="0" borderId="35" xfId="0" applyFont="1" applyBorder="1" applyAlignment="1">
      <alignment horizontal="center" vertical="center" wrapText="1"/>
    </xf>
    <xf numFmtId="0" fontId="18" fillId="0" borderId="20" xfId="0" applyFont="1" applyBorder="1" applyAlignment="1">
      <alignment horizontal="center" vertical="center" wrapText="1"/>
    </xf>
    <xf numFmtId="0" fontId="18" fillId="0" borderId="31" xfId="0" applyFont="1" applyBorder="1" applyAlignment="1">
      <alignment horizontal="center" vertical="center" wrapText="1"/>
    </xf>
    <xf numFmtId="0" fontId="37" fillId="0" borderId="8" xfId="1" applyFont="1" applyBorder="1" applyAlignment="1">
      <alignment horizontal="center" vertical="center" wrapText="1"/>
    </xf>
    <xf numFmtId="0" fontId="27" fillId="0" borderId="0" xfId="1" applyFont="1" applyBorder="1" applyAlignment="1">
      <alignment horizontal="center" vertical="center" wrapText="1"/>
    </xf>
    <xf numFmtId="0" fontId="18" fillId="0" borderId="0" xfId="1" applyFont="1" applyBorder="1" applyAlignment="1">
      <alignment horizontal="left" vertical="center" wrapText="1"/>
    </xf>
    <xf numFmtId="0" fontId="27" fillId="0" borderId="0" xfId="1" applyFont="1" applyBorder="1" applyAlignment="1">
      <alignment horizontal="left" vertical="center" wrapText="1"/>
    </xf>
    <xf numFmtId="0" fontId="27" fillId="0" borderId="28" xfId="1" applyFont="1" applyBorder="1" applyAlignment="1">
      <alignment horizontal="center" vertical="center" wrapText="1"/>
    </xf>
    <xf numFmtId="0" fontId="27" fillId="0" borderId="42" xfId="1" applyFont="1" applyBorder="1" applyAlignment="1">
      <alignment horizontal="center" vertical="center" wrapText="1"/>
    </xf>
    <xf numFmtId="0" fontId="1" fillId="2" borderId="4" xfId="0" applyFont="1" applyFill="1" applyBorder="1" applyAlignment="1">
      <alignment horizontal="center" vertical="center" wrapText="1"/>
    </xf>
    <xf numFmtId="0" fontId="1" fillId="2" borderId="13"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2" fillId="0" borderId="0" xfId="0" applyFont="1" applyBorder="1" applyAlignment="1">
      <alignment horizontal="center" vertical="center" wrapText="1"/>
    </xf>
    <xf numFmtId="0" fontId="2" fillId="0" borderId="43" xfId="0" applyFont="1" applyBorder="1" applyAlignment="1">
      <alignment horizontal="center" vertical="center" wrapText="1"/>
    </xf>
    <xf numFmtId="0" fontId="9" fillId="0" borderId="49" xfId="0" applyFont="1" applyBorder="1" applyAlignment="1">
      <alignment horizontal="center" vertical="center" wrapText="1"/>
    </xf>
    <xf numFmtId="0" fontId="9" fillId="0" borderId="46" xfId="0" applyFont="1" applyBorder="1" applyAlignment="1">
      <alignment horizontal="center" vertical="center" wrapText="1"/>
    </xf>
    <xf numFmtId="0" fontId="2" fillId="0" borderId="15"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50" xfId="0" applyFont="1" applyBorder="1" applyAlignment="1">
      <alignment horizontal="center" vertical="center" wrapText="1"/>
    </xf>
    <xf numFmtId="0" fontId="13" fillId="0" borderId="51" xfId="0" applyFont="1" applyBorder="1" applyAlignment="1">
      <alignment horizontal="center" vertical="center" wrapText="1"/>
    </xf>
    <xf numFmtId="0" fontId="13" fillId="0" borderId="52" xfId="0" applyFont="1" applyBorder="1" applyAlignment="1">
      <alignment horizontal="center" vertical="center" wrapText="1"/>
    </xf>
    <xf numFmtId="0" fontId="2" fillId="0" borderId="30" xfId="0" applyFont="1" applyBorder="1" applyAlignment="1">
      <alignment horizontal="center" vertical="center" wrapText="1"/>
    </xf>
    <xf numFmtId="0" fontId="2" fillId="0" borderId="42" xfId="0" applyFont="1" applyBorder="1" applyAlignment="1">
      <alignment horizontal="center" vertical="center" wrapText="1"/>
    </xf>
    <xf numFmtId="0" fontId="24" fillId="0" borderId="16" xfId="0" applyFont="1" applyBorder="1" applyAlignment="1">
      <alignment horizontal="center" vertical="center" wrapText="1"/>
    </xf>
    <xf numFmtId="0" fontId="24" fillId="0" borderId="17" xfId="0" applyFont="1" applyBorder="1" applyAlignment="1">
      <alignment horizontal="center" vertical="center" wrapText="1"/>
    </xf>
    <xf numFmtId="0" fontId="24" fillId="0" borderId="32" xfId="0" applyFont="1" applyBorder="1" applyAlignment="1">
      <alignment horizontal="center" vertical="center" wrapText="1"/>
    </xf>
    <xf numFmtId="0" fontId="40" fillId="0" borderId="5" xfId="0" applyFont="1" applyBorder="1" applyAlignment="1">
      <alignment horizontal="left" vertical="center" wrapText="1"/>
    </xf>
    <xf numFmtId="0" fontId="40" fillId="0" borderId="0" xfId="0" applyFont="1" applyAlignment="1">
      <alignment horizontal="left" vertical="center" wrapText="1"/>
    </xf>
    <xf numFmtId="0" fontId="14" fillId="0" borderId="5" xfId="0" applyFont="1" applyBorder="1" applyAlignment="1">
      <alignment horizontal="left" vertical="top" wrapText="1"/>
    </xf>
    <xf numFmtId="0" fontId="14" fillId="0" borderId="0" xfId="0" applyFont="1" applyAlignment="1">
      <alignment horizontal="left" vertical="top" wrapText="1"/>
    </xf>
    <xf numFmtId="0" fontId="38" fillId="0" borderId="5" xfId="0" applyFont="1" applyBorder="1" applyAlignment="1">
      <alignment horizontal="left" vertical="center" wrapText="1"/>
    </xf>
    <xf numFmtId="0" fontId="38" fillId="0" borderId="0" xfId="0" applyFont="1" applyAlignment="1">
      <alignment horizontal="left" vertical="center" wrapText="1"/>
    </xf>
    <xf numFmtId="0" fontId="14" fillId="0" borderId="5" xfId="0" applyFont="1" applyBorder="1" applyAlignment="1">
      <alignment horizontal="left" vertical="center" wrapText="1"/>
    </xf>
    <xf numFmtId="0" fontId="14" fillId="0" borderId="0" xfId="0" applyFont="1" applyAlignment="1">
      <alignment horizontal="left" vertical="center" wrapText="1"/>
    </xf>
    <xf numFmtId="0" fontId="2" fillId="0" borderId="22" xfId="0" applyFont="1" applyFill="1" applyBorder="1" applyAlignment="1">
      <alignment horizontal="center" vertical="center" wrapText="1"/>
    </xf>
    <xf numFmtId="0" fontId="2" fillId="0" borderId="48" xfId="0" applyFont="1" applyFill="1" applyBorder="1" applyAlignment="1">
      <alignment horizontal="center" vertical="center" wrapText="1"/>
    </xf>
    <xf numFmtId="0" fontId="2" fillId="0" borderId="46" xfId="0" applyFont="1" applyFill="1" applyBorder="1" applyAlignment="1">
      <alignment horizontal="center" vertical="center" wrapText="1"/>
    </xf>
    <xf numFmtId="0" fontId="2" fillId="0" borderId="12" xfId="0" applyFont="1" applyFill="1" applyBorder="1" applyAlignment="1">
      <alignment horizontal="center" vertical="center" wrapText="1"/>
    </xf>
    <xf numFmtId="0" fontId="15" fillId="0" borderId="4" xfId="0" applyFont="1" applyBorder="1" applyAlignment="1">
      <alignment horizontal="left" vertical="center"/>
    </xf>
    <xf numFmtId="0" fontId="15" fillId="0" borderId="13" xfId="0" applyFont="1" applyBorder="1" applyAlignment="1">
      <alignment horizontal="left" vertical="center"/>
    </xf>
    <xf numFmtId="0" fontId="15" fillId="0" borderId="6" xfId="0" applyFont="1" applyBorder="1" applyAlignment="1">
      <alignment horizontal="left" vertical="center"/>
    </xf>
    <xf numFmtId="0" fontId="15" fillId="0" borderId="4" xfId="0" applyFont="1" applyBorder="1" applyAlignment="1">
      <alignment horizontal="right" vertical="center"/>
    </xf>
    <xf numFmtId="0" fontId="15" fillId="0" borderId="13" xfId="0" applyFont="1" applyBorder="1" applyAlignment="1">
      <alignment horizontal="right" vertical="center"/>
    </xf>
    <xf numFmtId="0" fontId="15" fillId="0" borderId="6" xfId="0" applyFont="1" applyBorder="1" applyAlignment="1">
      <alignment horizontal="right" vertical="center"/>
    </xf>
    <xf numFmtId="0" fontId="13" fillId="4" borderId="0" xfId="0" applyFont="1" applyFill="1" applyAlignment="1">
      <alignment horizontal="center" vertical="center"/>
    </xf>
    <xf numFmtId="0" fontId="2" fillId="0" borderId="1" xfId="0" applyFont="1" applyBorder="1" applyAlignment="1">
      <alignment vertical="center"/>
    </xf>
    <xf numFmtId="0" fontId="2" fillId="0" borderId="4" xfId="0" applyFont="1" applyBorder="1" applyAlignment="1">
      <alignment horizontal="center" vertical="center" wrapText="1"/>
    </xf>
    <xf numFmtId="0" fontId="3" fillId="0" borderId="1" xfId="0" applyFont="1" applyBorder="1" applyAlignment="1">
      <alignment horizontal="center" vertical="center" wrapText="1"/>
    </xf>
    <xf numFmtId="0" fontId="12" fillId="0" borderId="6" xfId="0" applyFont="1" applyBorder="1" applyAlignment="1">
      <alignment horizontal="center" vertical="center" wrapText="1"/>
    </xf>
    <xf numFmtId="0" fontId="3" fillId="0" borderId="4" xfId="0" applyFont="1" applyBorder="1" applyAlignment="1">
      <alignment horizontal="center" vertical="center" wrapText="1"/>
    </xf>
    <xf numFmtId="0" fontId="8" fillId="0" borderId="6" xfId="0" applyFont="1" applyBorder="1" applyAlignment="1">
      <alignment horizontal="center" vertical="center" wrapText="1"/>
    </xf>
    <xf numFmtId="0" fontId="13" fillId="5" borderId="0" xfId="0" applyFont="1" applyFill="1" applyAlignment="1">
      <alignment horizontal="left" vertical="top"/>
    </xf>
    <xf numFmtId="0" fontId="44" fillId="0" borderId="0" xfId="0" applyFont="1" applyAlignment="1">
      <alignment horizontal="left" vertical="top"/>
    </xf>
    <xf numFmtId="0" fontId="43" fillId="0" borderId="0" xfId="0" applyFont="1" applyBorder="1" applyAlignment="1">
      <alignment horizontal="right" vertical="center"/>
    </xf>
    <xf numFmtId="0" fontId="34" fillId="0" borderId="0" xfId="0" applyFont="1" applyAlignment="1">
      <alignment horizontal="left" vertical="top"/>
    </xf>
    <xf numFmtId="0" fontId="11" fillId="0" borderId="0" xfId="0" applyFont="1" applyBorder="1" applyAlignment="1">
      <alignment horizontal="left" vertical="center"/>
    </xf>
    <xf numFmtId="0" fontId="0" fillId="0" borderId="0" xfId="0" applyAlignment="1">
      <alignment horizontal="center" vertical="top"/>
    </xf>
    <xf numFmtId="0" fontId="13" fillId="0" borderId="0" xfId="0" applyFont="1" applyAlignment="1">
      <alignment horizontal="center" vertical="center" wrapText="1"/>
    </xf>
    <xf numFmtId="0" fontId="11" fillId="0" borderId="0" xfId="0" applyFont="1" applyBorder="1" applyAlignment="1">
      <alignment horizontal="center" vertical="center" wrapText="1"/>
    </xf>
    <xf numFmtId="0" fontId="13" fillId="0" borderId="0" xfId="0" applyFont="1" applyBorder="1" applyAlignment="1" applyProtection="1">
      <alignment horizontal="left" vertical="center"/>
      <protection locked="0"/>
    </xf>
    <xf numFmtId="0" fontId="13" fillId="0" borderId="0" xfId="0" applyFont="1" applyAlignment="1" applyProtection="1">
      <alignment horizontal="center" vertical="center"/>
      <protection locked="0"/>
    </xf>
    <xf numFmtId="0" fontId="13" fillId="0" borderId="0" xfId="0" applyFont="1" applyBorder="1" applyAlignment="1" applyProtection="1">
      <alignment horizontal="center" vertical="center"/>
      <protection locked="0"/>
    </xf>
    <xf numFmtId="0" fontId="13" fillId="0" borderId="0" xfId="0" applyFont="1" applyAlignment="1" applyProtection="1">
      <alignment horizontal="left" vertical="top"/>
      <protection locked="0"/>
    </xf>
    <xf numFmtId="0" fontId="23" fillId="0" borderId="1" xfId="0" applyFont="1" applyBorder="1" applyAlignment="1" applyProtection="1">
      <alignment horizontal="center" vertical="center" wrapText="1"/>
      <protection locked="0"/>
    </xf>
    <xf numFmtId="0" fontId="23" fillId="0" borderId="19" xfId="0" applyFont="1" applyBorder="1" applyAlignment="1" applyProtection="1">
      <alignment horizontal="center" vertical="center" wrapText="1"/>
      <protection locked="0"/>
    </xf>
    <xf numFmtId="0" fontId="23" fillId="0" borderId="33" xfId="0" applyFont="1" applyBorder="1" applyAlignment="1" applyProtection="1">
      <alignment horizontal="center" vertical="center" wrapText="1"/>
      <protection locked="0"/>
    </xf>
    <xf numFmtId="0" fontId="23" fillId="0" borderId="21" xfId="0" applyFont="1" applyBorder="1" applyAlignment="1" applyProtection="1">
      <alignment horizontal="center" vertical="center" wrapText="1"/>
      <protection locked="0"/>
    </xf>
    <xf numFmtId="0" fontId="8" fillId="0" borderId="26" xfId="0" applyFont="1" applyBorder="1" applyAlignment="1" applyProtection="1">
      <alignment horizontal="center" vertical="center" wrapText="1"/>
      <protection locked="0"/>
    </xf>
    <xf numFmtId="0" fontId="8" fillId="0" borderId="0" xfId="0" applyFont="1" applyBorder="1" applyAlignment="1" applyProtection="1">
      <alignment horizontal="center" vertical="center" wrapText="1"/>
      <protection locked="0"/>
    </xf>
    <xf numFmtId="0" fontId="8" fillId="0" borderId="27" xfId="0" applyFont="1" applyBorder="1" applyAlignment="1" applyProtection="1">
      <alignment horizontal="center" vertical="center" wrapText="1"/>
      <protection locked="0"/>
    </xf>
    <xf numFmtId="0" fontId="8" fillId="0" borderId="23" xfId="0" applyFont="1" applyBorder="1" applyAlignment="1" applyProtection="1">
      <alignment horizontal="center" vertical="center" wrapText="1"/>
      <protection locked="0"/>
    </xf>
    <xf numFmtId="0" fontId="8" fillId="0" borderId="25" xfId="0" applyFont="1" applyBorder="1" applyAlignment="1" applyProtection="1">
      <alignment horizontal="center" vertical="center" wrapText="1"/>
      <protection locked="0"/>
    </xf>
    <xf numFmtId="0" fontId="8" fillId="0" borderId="24" xfId="0" applyFont="1" applyBorder="1" applyAlignment="1" applyProtection="1">
      <alignment horizontal="center" vertical="center" wrapText="1"/>
      <protection locked="0"/>
    </xf>
    <xf numFmtId="0" fontId="34" fillId="0" borderId="22" xfId="0" applyFont="1" applyBorder="1" applyAlignment="1" applyProtection="1">
      <alignment horizontal="left" vertical="top"/>
      <protection locked="0"/>
    </xf>
    <xf numFmtId="0" fontId="13" fillId="0" borderId="8" xfId="0" applyFont="1" applyBorder="1" applyAlignment="1" applyProtection="1">
      <alignment horizontal="left" vertical="top"/>
      <protection locked="0"/>
    </xf>
    <xf numFmtId="0" fontId="13" fillId="0" borderId="41" xfId="0" applyFont="1" applyBorder="1" applyAlignment="1" applyProtection="1">
      <alignment horizontal="left" vertical="top"/>
      <protection locked="0"/>
    </xf>
    <xf numFmtId="0" fontId="13" fillId="0" borderId="26" xfId="0" applyFont="1" applyBorder="1" applyAlignment="1" applyProtection="1">
      <alignment horizontal="left" vertical="top"/>
      <protection locked="0"/>
    </xf>
    <xf numFmtId="0" fontId="13" fillId="0" borderId="0" xfId="0" applyFont="1" applyBorder="1" applyAlignment="1" applyProtection="1">
      <alignment horizontal="left" vertical="top"/>
      <protection locked="0"/>
    </xf>
    <xf numFmtId="0" fontId="13" fillId="0" borderId="27" xfId="0" applyFont="1" applyBorder="1" applyAlignment="1" applyProtection="1">
      <alignment horizontal="left" vertical="top"/>
      <protection locked="0"/>
    </xf>
    <xf numFmtId="0" fontId="13" fillId="0" borderId="23" xfId="0" applyFont="1" applyBorder="1" applyAlignment="1" applyProtection="1">
      <alignment horizontal="left" vertical="top"/>
      <protection locked="0"/>
    </xf>
    <xf numFmtId="0" fontId="13" fillId="0" borderId="25" xfId="0" applyFont="1" applyBorder="1" applyAlignment="1" applyProtection="1">
      <alignment horizontal="left" vertical="top"/>
      <protection locked="0"/>
    </xf>
    <xf numFmtId="0" fontId="13" fillId="0" borderId="24" xfId="0" applyFont="1" applyBorder="1" applyAlignment="1" applyProtection="1">
      <alignment horizontal="left" vertical="top"/>
      <protection locked="0"/>
    </xf>
    <xf numFmtId="0" fontId="28" fillId="0" borderId="4" xfId="0" applyFont="1" applyBorder="1" applyAlignment="1" applyProtection="1">
      <alignment horizontal="center" vertical="center" wrapText="1"/>
      <protection locked="0"/>
    </xf>
    <xf numFmtId="0" fontId="28" fillId="0" borderId="13" xfId="0" applyFont="1" applyBorder="1" applyAlignment="1" applyProtection="1">
      <alignment horizontal="center" vertical="center" wrapText="1"/>
      <protection locked="0"/>
    </xf>
    <xf numFmtId="0" fontId="28" fillId="0" borderId="39" xfId="0" applyFont="1" applyBorder="1" applyAlignment="1" applyProtection="1">
      <alignment horizontal="center" vertical="center" wrapText="1"/>
      <protection locked="0"/>
    </xf>
    <xf numFmtId="0" fontId="13" fillId="0" borderId="35" xfId="0" applyFont="1"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31" xfId="0" applyBorder="1" applyAlignment="1" applyProtection="1">
      <alignment horizontal="center" vertical="center"/>
      <protection locked="0"/>
    </xf>
    <xf numFmtId="0" fontId="28" fillId="0" borderId="6" xfId="0" applyFont="1" applyBorder="1" applyAlignment="1" applyProtection="1">
      <alignment horizontal="center" vertical="center" wrapText="1"/>
      <protection locked="0"/>
    </xf>
    <xf numFmtId="0" fontId="28" fillId="0" borderId="35" xfId="0" applyFont="1" applyBorder="1" applyAlignment="1" applyProtection="1">
      <alignment horizontal="center" vertical="center" wrapText="1"/>
      <protection locked="0"/>
    </xf>
    <xf numFmtId="0" fontId="28" fillId="0" borderId="20" xfId="0" applyFont="1" applyBorder="1" applyAlignment="1" applyProtection="1">
      <alignment horizontal="center" vertical="center" wrapText="1"/>
      <protection locked="0"/>
    </xf>
    <xf numFmtId="0" fontId="28" fillId="0" borderId="36" xfId="0" applyFont="1" applyBorder="1" applyAlignment="1" applyProtection="1">
      <alignment horizontal="center" vertical="center" wrapText="1"/>
      <protection locked="0"/>
    </xf>
    <xf numFmtId="0" fontId="28" fillId="0" borderId="1" xfId="0" applyFont="1" applyBorder="1" applyAlignment="1" applyProtection="1">
      <alignment horizontal="center" vertical="center"/>
      <protection locked="0"/>
    </xf>
    <xf numFmtId="0" fontId="29" fillId="0" borderId="4" xfId="0" applyFont="1" applyFill="1" applyBorder="1" applyAlignment="1" applyProtection="1">
      <alignment horizontal="center" vertical="center"/>
      <protection locked="0"/>
    </xf>
    <xf numFmtId="0" fontId="29" fillId="0" borderId="13" xfId="0" applyFont="1" applyFill="1" applyBorder="1" applyAlignment="1" applyProtection="1">
      <alignment horizontal="center" vertical="center"/>
      <protection locked="0"/>
    </xf>
    <xf numFmtId="0" fontId="29" fillId="0" borderId="39" xfId="0" applyFont="1" applyFill="1" applyBorder="1" applyAlignment="1" applyProtection="1">
      <alignment horizontal="center" vertical="center"/>
      <protection locked="0"/>
    </xf>
    <xf numFmtId="0" fontId="28" fillId="0" borderId="37" xfId="0" applyFont="1" applyFill="1" applyBorder="1" applyAlignment="1" applyProtection="1">
      <alignment horizontal="center" vertical="center" wrapText="1"/>
      <protection locked="0"/>
    </xf>
    <xf numFmtId="0" fontId="28" fillId="0" borderId="17" xfId="0" applyFont="1" applyFill="1" applyBorder="1" applyAlignment="1" applyProtection="1">
      <alignment horizontal="center" vertical="center" wrapText="1"/>
      <protection locked="0"/>
    </xf>
    <xf numFmtId="0" fontId="28" fillId="0" borderId="47" xfId="0" applyFont="1" applyFill="1" applyBorder="1" applyAlignment="1" applyProtection="1">
      <alignment horizontal="center" vertical="center" wrapText="1"/>
      <protection locked="0"/>
    </xf>
    <xf numFmtId="0" fontId="1" fillId="0" borderId="18" xfId="0" applyFont="1" applyBorder="1" applyAlignment="1" applyProtection="1">
      <alignment horizontal="center" vertical="center"/>
      <protection locked="0"/>
    </xf>
    <xf numFmtId="0" fontId="28" fillId="0" borderId="44" xfId="0" applyFont="1" applyBorder="1" applyAlignment="1" applyProtection="1">
      <alignment horizontal="center" vertical="center" wrapText="1"/>
      <protection locked="0"/>
    </xf>
    <xf numFmtId="0" fontId="28" fillId="0" borderId="45" xfId="0" applyFont="1" applyBorder="1" applyAlignment="1" applyProtection="1">
      <alignment horizontal="center" vertical="center" wrapText="1"/>
      <protection locked="0"/>
    </xf>
    <xf numFmtId="0" fontId="2" fillId="0" borderId="19" xfId="0" applyFont="1" applyBorder="1" applyAlignment="1" applyProtection="1">
      <alignment horizontal="center" vertical="center" wrapText="1"/>
      <protection locked="0"/>
    </xf>
    <xf numFmtId="0" fontId="8" fillId="0" borderId="4" xfId="0" applyFont="1" applyBorder="1" applyAlignment="1" applyProtection="1">
      <alignment horizontal="center" vertical="center" wrapText="1"/>
      <protection locked="0"/>
    </xf>
    <xf numFmtId="0" fontId="8" fillId="0" borderId="20" xfId="0" applyFont="1" applyBorder="1" applyAlignment="1" applyProtection="1">
      <alignment horizontal="center" vertical="center" wrapText="1"/>
      <protection locked="0"/>
    </xf>
    <xf numFmtId="0" fontId="4" fillId="0" borderId="29" xfId="1" applyFont="1" applyBorder="1" applyAlignment="1" applyProtection="1">
      <alignment horizontal="center" vertical="center" wrapText="1"/>
      <protection locked="0"/>
    </xf>
    <xf numFmtId="0" fontId="4" fillId="0" borderId="18" xfId="1" applyFont="1" applyBorder="1" applyAlignment="1" applyProtection="1">
      <alignment horizontal="center" vertical="center" wrapText="1"/>
      <protection locked="0"/>
    </xf>
    <xf numFmtId="0" fontId="4" fillId="0" borderId="33" xfId="1" applyFont="1" applyBorder="1" applyAlignment="1" applyProtection="1">
      <alignment horizontal="center" vertical="center" wrapText="1"/>
      <protection locked="0"/>
    </xf>
    <xf numFmtId="0" fontId="4" fillId="0" borderId="21" xfId="1" applyFont="1" applyBorder="1" applyAlignment="1" applyProtection="1">
      <alignment horizontal="center" vertical="center" wrapText="1"/>
      <protection locked="0"/>
    </xf>
    <xf numFmtId="0" fontId="13" fillId="0" borderId="0" xfId="0" applyFont="1" applyAlignment="1" applyProtection="1">
      <alignment horizontal="center" vertical="top"/>
      <protection locked="0"/>
    </xf>
    <xf numFmtId="0" fontId="23" fillId="0" borderId="29" xfId="0" applyFont="1" applyBorder="1" applyAlignment="1">
      <alignment horizontal="center" vertical="center"/>
    </xf>
  </cellXfs>
  <cellStyles count="4">
    <cellStyle name="Hyperlink" xfId="3" builtinId="8"/>
    <cellStyle name="Normal" xfId="0" builtinId="0"/>
    <cellStyle name="常规 2" xfId="1"/>
    <cellStyle name="常规 3" xfId="2"/>
  </cellStyles>
  <dxfs count="31">
    <dxf>
      <numFmt numFmtId="1" formatCode="0"/>
      <fill>
        <patternFill>
          <bgColor theme="9"/>
        </patternFill>
      </fill>
    </dxf>
    <dxf>
      <fill>
        <patternFill>
          <bgColor theme="9"/>
        </patternFill>
      </fill>
    </dxf>
    <dxf>
      <numFmt numFmtId="1" formatCode="0"/>
      <fill>
        <patternFill>
          <bgColor theme="9"/>
        </patternFill>
      </fill>
    </dxf>
    <dxf>
      <fill>
        <patternFill>
          <bgColor theme="9"/>
        </patternFill>
      </fill>
    </dxf>
    <dxf>
      <numFmt numFmtId="1" formatCode="0"/>
      <fill>
        <patternFill>
          <bgColor theme="9"/>
        </patternFill>
      </fill>
    </dxf>
    <dxf>
      <fill>
        <patternFill>
          <bgColor theme="9"/>
        </patternFill>
      </fill>
    </dxf>
    <dxf>
      <font>
        <b val="0"/>
        <i val="0"/>
        <strike val="0"/>
        <condense val="0"/>
        <extend val="0"/>
        <outline val="0"/>
        <shadow val="0"/>
        <u val="none"/>
        <vertAlign val="baseline"/>
        <sz val="10"/>
        <color rgb="FF000000"/>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0"/>
        <color rgb="FF000000"/>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0"/>
        <color rgb="FF000000"/>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0"/>
        <color rgb="FF000000"/>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0"/>
        <color rgb="FF000000"/>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0"/>
        <color rgb="FF000000"/>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0"/>
        <color rgb="FF000000"/>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0"/>
        <color rgb="FF000000"/>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0"/>
        <color rgb="FF000000"/>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0"/>
        <color rgb="FF000000"/>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0"/>
        <color rgb="FF000000"/>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0"/>
        <color rgb="FF000000"/>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0"/>
        <color theme="0"/>
        <name val="Times New Roman"/>
        <scheme val="none"/>
      </font>
      <alignment horizontal="general" vertical="top" textRotation="0" wrapText="0" indent="0" justifyLastLine="0" shrinkToFit="0" readingOrder="0"/>
    </dxf>
    <dxf>
      <font>
        <b val="0"/>
        <i val="0"/>
        <strike val="0"/>
        <condense val="0"/>
        <extend val="0"/>
        <outline val="0"/>
        <shadow val="0"/>
        <u val="none"/>
        <vertAlign val="baseline"/>
        <sz val="10"/>
        <color rgb="FF000000"/>
        <name val="Times New Roman"/>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0"/>
        <color rgb="FF000000"/>
        <name val="Times New Roman"/>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0"/>
        <color rgb="FF000000"/>
        <name val="Times New Roman"/>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0"/>
        <color rgb="FF000000"/>
        <name val="Times New Roman"/>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0"/>
        <color rgb="FF000000"/>
        <name val="Times New Roman"/>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0"/>
        <color rgb="FF000000"/>
        <name val="Times New Roman"/>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0"/>
        <color rgb="FF000000"/>
        <name val="Times New Roman"/>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Times New Roman"/>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Times New Roman"/>
        <scheme val="none"/>
      </font>
      <fill>
        <patternFill patternType="none">
          <fgColor indexed="64"/>
          <bgColor indexed="65"/>
        </patternFill>
      </fill>
      <alignment horizontal="general" vertical="top" textRotation="0" wrapText="1" indent="0" justifyLastLine="0" shrinkToFit="0" readingOrder="0"/>
    </dxf>
    <dxf>
      <font>
        <strike val="0"/>
        <outline val="0"/>
        <shadow val="0"/>
        <u val="none"/>
        <vertAlign val="baseline"/>
        <sz val="10"/>
        <name val="Times New Roman"/>
        <scheme val="none"/>
      </font>
    </dxf>
    <dxf>
      <font>
        <strike val="0"/>
        <outline val="0"/>
        <shadow val="0"/>
        <u val="none"/>
        <vertAlign val="baseline"/>
        <sz val="10"/>
        <name val="Times New Roman"/>
        <scheme val="none"/>
      </font>
    </dxf>
    <dxf>
      <font>
        <b val="0"/>
        <i val="0"/>
        <strike val="0"/>
        <condense val="0"/>
        <extend val="0"/>
        <outline val="0"/>
        <shadow val="0"/>
        <u val="none"/>
        <vertAlign val="baseline"/>
        <sz val="10"/>
        <color rgb="FF000000"/>
        <name val="Times New Roman"/>
        <scheme val="none"/>
      </font>
      <fill>
        <patternFill patternType="none">
          <fgColor indexed="64"/>
          <bgColor indexed="65"/>
        </patternFill>
      </fill>
      <alignment horizontal="left" vertical="top" textRotation="0" wrapText="0" 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3" name="Table3" displayName="Table3" ref="B3:B10" totalsRowShown="0" headerRowDxfId="30" dataDxfId="29">
  <autoFilter ref="B3:B10"/>
  <tableColumns count="1">
    <tableColumn id="1" name="Use this drop down menu to select RNA enrichment method *" dataDxfId="28"/>
  </tableColumns>
  <tableStyleInfo name="TableStyleMedium9" showFirstColumn="0" showLastColumn="0" showRowStripes="1" showColumnStripes="0"/>
</table>
</file>

<file path=xl/tables/table2.xml><?xml version="1.0" encoding="utf-8"?>
<table xmlns="http://schemas.openxmlformats.org/spreadsheetml/2006/main" id="4" name="Table4" displayName="Table4" ref="D3:D7" totalsRowShown="0" headerRowDxfId="27" dataDxfId="26" headerRowCellStyle="常规 2">
  <autoFilter ref="D3:D7"/>
  <tableColumns count="1">
    <tableColumn id="1" name="Use this drop down menu to select library type *" dataDxfId="25"/>
  </tableColumns>
  <tableStyleInfo name="TableStyleMedium9" showFirstColumn="0" showLastColumn="0" showRowStripes="1" showColumnStripes="0"/>
</table>
</file>

<file path=xl/tables/table3.xml><?xml version="1.0" encoding="utf-8"?>
<table xmlns="http://schemas.openxmlformats.org/spreadsheetml/2006/main" id="6" name="Table6" displayName="Table6" ref="F3:F14" totalsRowShown="0" headerRowDxfId="24" dataDxfId="23">
  <autoFilter ref="F3:F14"/>
  <tableColumns count="1">
    <tableColumn id="1" name="Use this drop down menu to select desired data output" dataDxfId="22"/>
  </tableColumns>
  <tableStyleInfo name="TableStyleMedium9" showFirstColumn="0" showLastColumn="0" showRowStripes="1" showColumnStripes="0"/>
</table>
</file>

<file path=xl/tables/table4.xml><?xml version="1.0" encoding="utf-8"?>
<table xmlns="http://schemas.openxmlformats.org/spreadsheetml/2006/main" id="1" name="Table1" displayName="Table1" ref="D13:D27" totalsRowShown="0" headerRowDxfId="21" dataDxfId="20">
  <autoFilter ref="D13:D27"/>
  <tableColumns count="1">
    <tableColumn id="1" name="Technical support use only" dataDxfId="19"/>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A3:A7" totalsRowShown="0" headerRowDxfId="18" dataDxfId="17" headerRowCellStyle="常规 2">
  <autoFilter ref="A3:A7"/>
  <tableColumns count="1">
    <tableColumn id="1" name="Use this drop down menu to select quantification instrument" dataDxfId="16"/>
  </tableColumns>
  <tableStyleInfo name="TableStyleMedium9" showFirstColumn="0" showLastColumn="0" showRowStripes="1" showColumnStripes="0"/>
</table>
</file>

<file path=xl/tables/table6.xml><?xml version="1.0" encoding="utf-8"?>
<table xmlns="http://schemas.openxmlformats.org/spreadsheetml/2006/main" id="7" name="Table7" displayName="Table7" ref="A11:B17" totalsRowShown="0" headerRowDxfId="15" dataDxfId="14">
  <autoFilter ref="A11:B17"/>
  <tableColumns count="2">
    <tableColumn id="1" name="Use this drop down menu to select quality check instrument" dataDxfId="13"/>
    <tableColumn id="2" name="*Use this drop down menu to select which Tier of Analysis you would like" dataDxfId="12"/>
  </tableColumns>
  <tableStyleInfo name="TableStyleMedium9" showFirstColumn="0" showLastColumn="0" showRowStripes="1" showColumnStripes="0"/>
</table>
</file>

<file path=xl/tables/table7.xml><?xml version="1.0" encoding="utf-8"?>
<table xmlns="http://schemas.openxmlformats.org/spreadsheetml/2006/main" id="2" name="Table2" displayName="Table2" ref="A21:A25" totalsRowShown="0" headerRowDxfId="11" dataDxfId="10">
  <autoFilter ref="A21:A25"/>
  <tableColumns count="1">
    <tableColumn id="1" name="Use this drop down menu to select Read Length" dataDxfId="9"/>
  </tableColumns>
  <tableStyleInfo name="TableStyleMedium9" showFirstColumn="0" showLastColumn="0" showRowStripes="1" showColumnStripes="0"/>
</table>
</file>

<file path=xl/tables/table8.xml><?xml version="1.0" encoding="utf-8"?>
<table xmlns="http://schemas.openxmlformats.org/spreadsheetml/2006/main" id="8" name="Table8" displayName="Table8" ref="A29:A34" totalsRowShown="0" headerRowDxfId="8" dataDxfId="7">
  <autoFilter ref="A29:A34"/>
  <tableColumns count="1">
    <tableColumn id="1" name="Use this drop down menu to select Read Depth" dataDxfId="6"/>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195"/>
  <sheetViews>
    <sheetView tabSelected="1" zoomScaleNormal="100" zoomScaleSheetLayoutView="100" workbookViewId="0">
      <selection activeCell="C9" sqref="C9:E9"/>
    </sheetView>
  </sheetViews>
  <sheetFormatPr defaultColWidth="8.83203125" defaultRowHeight="12.75" x14ac:dyDescent="0.2"/>
  <cols>
    <col min="1" max="1" width="20.33203125" style="3" customWidth="1"/>
    <col min="2" max="2" width="16" style="3" customWidth="1"/>
    <col min="3" max="3" width="12.5" style="3" customWidth="1"/>
    <col min="4" max="4" width="19.5" style="3" customWidth="1"/>
    <col min="5" max="5" width="22" style="3" customWidth="1"/>
    <col min="6" max="6" width="20.6640625" style="3" customWidth="1"/>
    <col min="7" max="7" width="8.5" style="3" customWidth="1"/>
    <col min="8" max="8" width="6.5" style="3" customWidth="1"/>
    <col min="9" max="9" width="9.1640625" style="3" customWidth="1"/>
    <col min="10" max="10" width="10.83203125" style="3" customWidth="1"/>
    <col min="11" max="11" width="12.33203125" style="3" customWidth="1"/>
    <col min="12" max="12" width="14.6640625" style="3" customWidth="1"/>
    <col min="13" max="13" width="8.83203125" style="3"/>
    <col min="14" max="14" width="27.33203125" style="3" bestFit="1" customWidth="1"/>
    <col min="15" max="15" width="8.83203125" style="3"/>
    <col min="16" max="16" width="13.5" style="3" customWidth="1"/>
    <col min="17" max="16384" width="8.83203125" style="3"/>
  </cols>
  <sheetData>
    <row r="1" spans="1:14" ht="32.1" customHeight="1" x14ac:dyDescent="0.2">
      <c r="A1" s="116" t="s">
        <v>32</v>
      </c>
      <c r="B1" s="117"/>
      <c r="C1" s="117"/>
      <c r="D1" s="117"/>
      <c r="E1" s="117"/>
      <c r="F1" s="117"/>
      <c r="G1" s="117"/>
      <c r="H1" s="117"/>
      <c r="I1" s="117"/>
      <c r="J1" s="117"/>
      <c r="K1" s="117"/>
      <c r="L1" s="118"/>
      <c r="N1" s="34"/>
    </row>
    <row r="2" spans="1:14" s="2" customFormat="1" ht="12" x14ac:dyDescent="0.2">
      <c r="A2" s="145" t="s">
        <v>0</v>
      </c>
      <c r="B2" s="146"/>
      <c r="C2" s="146"/>
      <c r="D2" s="146"/>
      <c r="E2" s="147"/>
      <c r="F2" s="148" t="s">
        <v>104</v>
      </c>
      <c r="G2" s="149"/>
      <c r="H2" s="149"/>
      <c r="I2" s="149"/>
      <c r="J2" s="149"/>
      <c r="K2" s="149"/>
      <c r="L2" s="150"/>
    </row>
    <row r="3" spans="1:14" s="51" customFormat="1" ht="14.25" customHeight="1" x14ac:dyDescent="0.2">
      <c r="A3" s="135" t="s">
        <v>137</v>
      </c>
      <c r="B3" s="136"/>
      <c r="C3" s="136"/>
      <c r="D3" s="136"/>
      <c r="E3" s="136"/>
      <c r="F3" s="136"/>
      <c r="G3" s="136"/>
      <c r="H3" s="136"/>
      <c r="I3" s="136"/>
      <c r="J3" s="136"/>
      <c r="K3" s="136"/>
      <c r="L3" s="136"/>
    </row>
    <row r="4" spans="1:14" s="51" customFormat="1" ht="14.25" customHeight="1" x14ac:dyDescent="0.2">
      <c r="A4" s="137" t="s">
        <v>138</v>
      </c>
      <c r="B4" s="138"/>
      <c r="C4" s="138"/>
      <c r="D4" s="138"/>
      <c r="E4" s="138"/>
      <c r="F4" s="138"/>
      <c r="G4" s="138"/>
      <c r="H4" s="138"/>
      <c r="I4" s="138"/>
      <c r="J4" s="138"/>
      <c r="K4" s="138"/>
      <c r="L4" s="138"/>
    </row>
    <row r="5" spans="1:14" s="51" customFormat="1" ht="14.25" customHeight="1" x14ac:dyDescent="0.2">
      <c r="A5" s="139" t="s">
        <v>139</v>
      </c>
      <c r="B5" s="140"/>
      <c r="C5" s="140"/>
      <c r="D5" s="140"/>
      <c r="E5" s="140"/>
      <c r="F5" s="140"/>
      <c r="G5" s="140"/>
      <c r="H5" s="140"/>
      <c r="I5" s="140"/>
      <c r="J5" s="140"/>
      <c r="K5" s="140"/>
      <c r="L5" s="140"/>
    </row>
    <row r="6" spans="1:14" s="51" customFormat="1" ht="14.25" customHeight="1" x14ac:dyDescent="0.2">
      <c r="A6" s="139" t="s">
        <v>140</v>
      </c>
      <c r="B6" s="140"/>
      <c r="C6" s="140"/>
      <c r="D6" s="140"/>
      <c r="E6" s="140"/>
      <c r="F6" s="140"/>
      <c r="G6" s="140"/>
      <c r="H6" s="140"/>
      <c r="I6" s="140"/>
      <c r="J6" s="140"/>
      <c r="K6" s="140"/>
      <c r="L6" s="140"/>
    </row>
    <row r="7" spans="1:14" ht="16.5" customHeight="1" x14ac:dyDescent="0.2">
      <c r="A7" s="133"/>
      <c r="B7" s="134"/>
      <c r="C7" s="134"/>
      <c r="D7" s="134"/>
      <c r="E7" s="134"/>
      <c r="F7" s="134"/>
      <c r="G7" s="134"/>
      <c r="H7" s="134"/>
      <c r="I7" s="134"/>
      <c r="J7" s="134"/>
      <c r="K7" s="134"/>
      <c r="L7" s="134"/>
    </row>
    <row r="8" spans="1:14" ht="15.75" customHeight="1" thickBot="1" x14ac:dyDescent="0.25">
      <c r="A8" s="17" t="s">
        <v>55</v>
      </c>
      <c r="B8" s="17" t="s">
        <v>56</v>
      </c>
      <c r="C8" s="54"/>
      <c r="D8" s="54"/>
      <c r="E8" s="54"/>
      <c r="F8" s="17" t="s">
        <v>57</v>
      </c>
      <c r="G8" s="17"/>
      <c r="H8" s="54" t="s">
        <v>58</v>
      </c>
      <c r="I8" s="54"/>
      <c r="J8" s="17"/>
      <c r="K8" s="49" t="s">
        <v>59</v>
      </c>
      <c r="L8" s="49"/>
    </row>
    <row r="9" spans="1:14" ht="24.95" customHeight="1" x14ac:dyDescent="0.2">
      <c r="A9" s="141" t="s">
        <v>1</v>
      </c>
      <c r="B9" s="18" t="s">
        <v>54</v>
      </c>
      <c r="C9" s="203"/>
      <c r="D9" s="204"/>
      <c r="E9" s="205"/>
      <c r="F9" s="143" t="s">
        <v>37</v>
      </c>
      <c r="G9" s="41" t="s">
        <v>38</v>
      </c>
      <c r="H9" s="203"/>
      <c r="I9" s="204"/>
      <c r="J9" s="204"/>
      <c r="K9" s="52" t="s">
        <v>132</v>
      </c>
      <c r="L9" s="53" t="str">
        <f>LEFT($H$9)&amp;IF(ISNUMBER(FIND(" ",$H$9)),MID($H$9,FIND(" ",$H$9)+1,1),"")&amp;IF(ISNUMBER(FIND(" ",$H$9,FIND(" ",$H$9)+1)),MID($H$9,FIND(" ",$H$9,FIND(" ",$H$9)+1)+1,1),"")</f>
        <v/>
      </c>
    </row>
    <row r="10" spans="1:14" ht="20.25" customHeight="1" x14ac:dyDescent="0.2">
      <c r="A10" s="142"/>
      <c r="B10" s="42" t="s">
        <v>115</v>
      </c>
      <c r="C10" s="199"/>
      <c r="D10" s="199"/>
      <c r="E10" s="199"/>
      <c r="F10" s="144"/>
      <c r="G10" s="7" t="s">
        <v>39</v>
      </c>
      <c r="H10" s="200"/>
      <c r="I10" s="201"/>
      <c r="J10" s="201"/>
      <c r="K10" s="201"/>
      <c r="L10" s="202"/>
    </row>
    <row r="11" spans="1:14" ht="23.1" customHeight="1" x14ac:dyDescent="0.2">
      <c r="A11" s="128" t="s">
        <v>33</v>
      </c>
      <c r="B11" s="6" t="s">
        <v>34</v>
      </c>
      <c r="C11" s="189"/>
      <c r="D11" s="190"/>
      <c r="E11" s="195"/>
      <c r="F11" s="6" t="s">
        <v>36</v>
      </c>
      <c r="G11" s="189"/>
      <c r="H11" s="190"/>
      <c r="I11" s="190"/>
      <c r="J11" s="190"/>
      <c r="K11" s="190"/>
      <c r="L11" s="191"/>
    </row>
    <row r="12" spans="1:14" ht="21.95" customHeight="1" thickBot="1" x14ac:dyDescent="0.25">
      <c r="A12" s="129"/>
      <c r="B12" s="19" t="s">
        <v>35</v>
      </c>
      <c r="C12" s="196"/>
      <c r="D12" s="197"/>
      <c r="E12" s="198"/>
      <c r="F12" s="19" t="s">
        <v>95</v>
      </c>
      <c r="G12" s="192" t="s">
        <v>119</v>
      </c>
      <c r="H12" s="193"/>
      <c r="I12" s="193"/>
      <c r="J12" s="193"/>
      <c r="K12" s="193"/>
      <c r="L12" s="194"/>
    </row>
    <row r="13" spans="1:14" ht="21.95" customHeight="1" thickBot="1" x14ac:dyDescent="0.25">
      <c r="A13" s="26"/>
      <c r="B13" s="16"/>
      <c r="C13" s="15"/>
      <c r="D13" s="15"/>
      <c r="E13" s="15"/>
      <c r="F13" s="16"/>
      <c r="G13" s="27"/>
      <c r="H13" s="15"/>
      <c r="I13" s="15"/>
      <c r="J13" s="15"/>
      <c r="K13" s="15"/>
      <c r="L13" s="15"/>
    </row>
    <row r="14" spans="1:14" ht="25.5" customHeight="1" x14ac:dyDescent="0.2">
      <c r="A14" s="125" t="s">
        <v>40</v>
      </c>
      <c r="B14" s="121" t="s">
        <v>122</v>
      </c>
      <c r="C14" s="122"/>
      <c r="D14" s="122"/>
      <c r="E14" s="206"/>
      <c r="F14" s="93" t="s">
        <v>52</v>
      </c>
      <c r="G14" s="94"/>
      <c r="H14" s="95"/>
      <c r="I14" s="130" t="s">
        <v>105</v>
      </c>
      <c r="J14" s="131"/>
      <c r="K14" s="131"/>
      <c r="L14" s="132"/>
      <c r="N14" s="34"/>
    </row>
    <row r="15" spans="1:14" ht="15" customHeight="1" x14ac:dyDescent="0.2">
      <c r="A15" s="126"/>
      <c r="B15" s="123" t="s">
        <v>78</v>
      </c>
      <c r="C15" s="123"/>
      <c r="D15" s="124"/>
      <c r="E15" s="207"/>
      <c r="F15" s="174" t="s">
        <v>74</v>
      </c>
      <c r="G15" s="175"/>
      <c r="H15" s="176"/>
      <c r="I15" s="174" t="s">
        <v>113</v>
      </c>
      <c r="J15" s="175"/>
      <c r="K15" s="175"/>
      <c r="L15" s="176"/>
    </row>
    <row r="16" spans="1:14" ht="13.5" customHeight="1" x14ac:dyDescent="0.2">
      <c r="A16" s="126"/>
      <c r="B16" s="96" t="s">
        <v>73</v>
      </c>
      <c r="C16" s="96"/>
      <c r="D16" s="69"/>
      <c r="E16" s="208"/>
      <c r="F16" s="174"/>
      <c r="G16" s="175"/>
      <c r="H16" s="176"/>
      <c r="I16" s="174"/>
      <c r="J16" s="175"/>
      <c r="K16" s="175"/>
      <c r="L16" s="176"/>
    </row>
    <row r="17" spans="1:14" ht="28.5" customHeight="1" thickBot="1" x14ac:dyDescent="0.25">
      <c r="A17" s="126"/>
      <c r="B17" s="119" t="s">
        <v>106</v>
      </c>
      <c r="C17" s="119"/>
      <c r="D17" s="120"/>
      <c r="E17" s="209" t="s">
        <v>123</v>
      </c>
      <c r="F17" s="177"/>
      <c r="G17" s="178"/>
      <c r="H17" s="179"/>
      <c r="I17" s="177"/>
      <c r="J17" s="178"/>
      <c r="K17" s="178"/>
      <c r="L17" s="179"/>
    </row>
    <row r="18" spans="1:14" ht="34.5" customHeight="1" x14ac:dyDescent="0.2">
      <c r="A18" s="126"/>
      <c r="B18" s="102" t="s">
        <v>109</v>
      </c>
      <c r="C18" s="102"/>
      <c r="D18" s="103"/>
      <c r="E18" s="210" t="s">
        <v>51</v>
      </c>
      <c r="F18" s="180" t="s">
        <v>50</v>
      </c>
      <c r="G18" s="181"/>
      <c r="H18" s="181"/>
      <c r="I18" s="181"/>
      <c r="J18" s="181"/>
      <c r="K18" s="181"/>
      <c r="L18" s="182"/>
    </row>
    <row r="19" spans="1:14" ht="27.75" customHeight="1" x14ac:dyDescent="0.2">
      <c r="A19" s="126"/>
      <c r="B19" s="102" t="s">
        <v>107</v>
      </c>
      <c r="C19" s="102"/>
      <c r="D19" s="103"/>
      <c r="E19" s="209" t="s">
        <v>123</v>
      </c>
      <c r="F19" s="183"/>
      <c r="G19" s="184"/>
      <c r="H19" s="184"/>
      <c r="I19" s="184"/>
      <c r="J19" s="184"/>
      <c r="K19" s="184"/>
      <c r="L19" s="185"/>
    </row>
    <row r="20" spans="1:14" ht="37.5" customHeight="1" thickBot="1" x14ac:dyDescent="0.25">
      <c r="A20" s="127"/>
      <c r="B20" s="100" t="s">
        <v>108</v>
      </c>
      <c r="C20" s="100"/>
      <c r="D20" s="101"/>
      <c r="E20" s="211" t="s">
        <v>42</v>
      </c>
      <c r="F20" s="186"/>
      <c r="G20" s="187"/>
      <c r="H20" s="187"/>
      <c r="I20" s="187"/>
      <c r="J20" s="187"/>
      <c r="K20" s="187"/>
      <c r="L20" s="188"/>
    </row>
    <row r="21" spans="1:14" ht="32.25" customHeight="1" thickBot="1" x14ac:dyDescent="0.25">
      <c r="A21" s="20"/>
      <c r="B21" s="21"/>
      <c r="C21" s="21"/>
      <c r="D21" s="22"/>
      <c r="E21" s="23"/>
      <c r="F21" s="24"/>
      <c r="G21" s="24"/>
      <c r="H21" s="24"/>
      <c r="I21" s="24"/>
      <c r="J21" s="24"/>
      <c r="K21" s="24"/>
      <c r="L21" s="25"/>
    </row>
    <row r="22" spans="1:14" ht="28.5" customHeight="1" x14ac:dyDescent="0.2">
      <c r="A22" s="90" t="s">
        <v>126</v>
      </c>
      <c r="B22" s="82" t="s">
        <v>60</v>
      </c>
      <c r="C22" s="82"/>
      <c r="D22" s="82"/>
      <c r="E22" s="74" t="s">
        <v>61</v>
      </c>
      <c r="F22" s="74"/>
      <c r="G22" s="83" t="s">
        <v>62</v>
      </c>
      <c r="H22" s="84"/>
      <c r="I22" s="85"/>
      <c r="J22" s="73" t="s">
        <v>111</v>
      </c>
      <c r="K22" s="74"/>
      <c r="L22" s="75"/>
    </row>
    <row r="23" spans="1:14" ht="31.5" customHeight="1" x14ac:dyDescent="0.2">
      <c r="A23" s="91"/>
      <c r="B23" s="98" t="s">
        <v>14</v>
      </c>
      <c r="C23" s="98"/>
      <c r="D23" s="98"/>
      <c r="E23" s="97" t="s">
        <v>76</v>
      </c>
      <c r="F23" s="97"/>
      <c r="G23" s="104" t="s">
        <v>63</v>
      </c>
      <c r="H23" s="105"/>
      <c r="I23" s="106"/>
      <c r="J23" s="76" t="s">
        <v>67</v>
      </c>
      <c r="K23" s="77"/>
      <c r="L23" s="78"/>
      <c r="N23" s="34"/>
    </row>
    <row r="24" spans="1:14" ht="28.5" customHeight="1" thickBot="1" x14ac:dyDescent="0.25">
      <c r="A24" s="92"/>
      <c r="B24" s="99" t="s">
        <v>16</v>
      </c>
      <c r="C24" s="99"/>
      <c r="D24" s="99"/>
      <c r="E24" s="80" t="s">
        <v>64</v>
      </c>
      <c r="F24" s="80"/>
      <c r="G24" s="107" t="s">
        <v>66</v>
      </c>
      <c r="H24" s="108"/>
      <c r="I24" s="109"/>
      <c r="J24" s="79" t="s">
        <v>65</v>
      </c>
      <c r="K24" s="80"/>
      <c r="L24" s="81"/>
    </row>
    <row r="25" spans="1:14" ht="28.5" customHeight="1" thickBot="1" x14ac:dyDescent="0.25">
      <c r="A25" s="29"/>
      <c r="B25" s="30"/>
      <c r="C25" s="30"/>
      <c r="D25" s="30"/>
      <c r="E25" s="28"/>
      <c r="F25" s="28"/>
      <c r="G25" s="28"/>
      <c r="H25" s="28"/>
      <c r="I25" s="28"/>
      <c r="J25" s="28"/>
      <c r="K25" s="28"/>
      <c r="L25" s="28"/>
    </row>
    <row r="26" spans="1:14" s="1" customFormat="1" ht="45.75" customHeight="1" x14ac:dyDescent="0.2">
      <c r="A26" s="114" t="s">
        <v>69</v>
      </c>
      <c r="B26" s="12" t="s">
        <v>70</v>
      </c>
      <c r="C26" s="63" t="s">
        <v>110</v>
      </c>
      <c r="D26" s="63"/>
      <c r="E26" s="86" t="s">
        <v>167</v>
      </c>
      <c r="F26" s="86"/>
      <c r="G26" s="86"/>
      <c r="H26" s="86"/>
      <c r="I26" s="63" t="s">
        <v>70</v>
      </c>
      <c r="J26" s="63"/>
      <c r="K26" s="212" t="s">
        <v>68</v>
      </c>
      <c r="L26" s="213"/>
      <c r="N26" s="34"/>
    </row>
    <row r="27" spans="1:14" s="1" customFormat="1" ht="45" customHeight="1" thickBot="1" x14ac:dyDescent="0.25">
      <c r="A27" s="115"/>
      <c r="B27" s="13" t="s">
        <v>71</v>
      </c>
      <c r="C27" s="55" t="s">
        <v>141</v>
      </c>
      <c r="D27" s="56"/>
      <c r="E27" s="87" t="s">
        <v>168</v>
      </c>
      <c r="F27" s="87"/>
      <c r="G27" s="87"/>
      <c r="H27" s="87"/>
      <c r="I27" s="88" t="s">
        <v>71</v>
      </c>
      <c r="J27" s="88"/>
      <c r="K27" s="214" t="s">
        <v>72</v>
      </c>
      <c r="L27" s="215"/>
      <c r="N27" s="34"/>
    </row>
    <row r="28" spans="1:14" s="1" customFormat="1" ht="36" customHeight="1" thickBot="1" x14ac:dyDescent="0.25">
      <c r="A28" s="31"/>
      <c r="B28" s="32"/>
      <c r="C28" s="11"/>
      <c r="D28" s="11"/>
      <c r="E28" s="10"/>
      <c r="F28" s="10"/>
      <c r="G28" s="10"/>
      <c r="H28" s="10"/>
      <c r="I28" s="14"/>
      <c r="J28" s="14"/>
      <c r="K28" s="10"/>
      <c r="L28" s="10"/>
    </row>
    <row r="29" spans="1:14" s="1" customFormat="1" ht="36" customHeight="1" x14ac:dyDescent="0.2">
      <c r="A29" s="58" t="s">
        <v>77</v>
      </c>
      <c r="B29" s="61" t="s">
        <v>210</v>
      </c>
      <c r="C29" s="62"/>
      <c r="D29" s="62"/>
      <c r="E29" s="62"/>
      <c r="F29" s="62"/>
      <c r="G29" s="62"/>
      <c r="H29" s="62"/>
      <c r="I29" s="217" t="s">
        <v>211</v>
      </c>
      <c r="J29" s="63"/>
      <c r="K29" s="63"/>
      <c r="L29" s="64"/>
      <c r="N29" s="34"/>
    </row>
    <row r="30" spans="1:14" s="1" customFormat="1" ht="36" customHeight="1" x14ac:dyDescent="0.2">
      <c r="A30" s="59"/>
      <c r="B30" s="65" t="s">
        <v>79</v>
      </c>
      <c r="C30" s="67" t="s">
        <v>80</v>
      </c>
      <c r="D30" s="67"/>
      <c r="E30" s="67"/>
      <c r="F30" s="67"/>
      <c r="G30" s="67"/>
      <c r="H30" s="67"/>
      <c r="I30" s="170" t="s">
        <v>83</v>
      </c>
      <c r="J30" s="170"/>
      <c r="K30" s="170"/>
      <c r="L30" s="171"/>
      <c r="N30" s="34"/>
    </row>
    <row r="31" spans="1:14" s="1" customFormat="1" ht="30.75" customHeight="1" x14ac:dyDescent="0.2">
      <c r="A31" s="59"/>
      <c r="B31" s="65"/>
      <c r="C31" s="68" t="s">
        <v>81</v>
      </c>
      <c r="D31" s="68"/>
      <c r="E31" s="68"/>
      <c r="F31" s="68"/>
      <c r="G31" s="68"/>
      <c r="H31" s="68"/>
      <c r="I31" s="170"/>
      <c r="J31" s="170"/>
      <c r="K31" s="170"/>
      <c r="L31" s="171"/>
    </row>
    <row r="32" spans="1:14" s="1" customFormat="1" ht="38.25" customHeight="1" x14ac:dyDescent="0.2">
      <c r="A32" s="59"/>
      <c r="B32" s="65"/>
      <c r="C32" s="68" t="s">
        <v>117</v>
      </c>
      <c r="D32" s="68"/>
      <c r="E32" s="68"/>
      <c r="F32" s="68"/>
      <c r="G32" s="68"/>
      <c r="H32" s="68"/>
      <c r="I32" s="170"/>
      <c r="J32" s="170"/>
      <c r="K32" s="170"/>
      <c r="L32" s="171"/>
    </row>
    <row r="33" spans="1:19" s="1" customFormat="1" ht="30.75" customHeight="1" x14ac:dyDescent="0.2">
      <c r="A33" s="59"/>
      <c r="B33" s="65"/>
      <c r="C33" s="70" t="s">
        <v>127</v>
      </c>
      <c r="D33" s="71"/>
      <c r="E33" s="71"/>
      <c r="F33" s="71"/>
      <c r="G33" s="71"/>
      <c r="H33" s="72"/>
      <c r="I33" s="170"/>
      <c r="J33" s="170"/>
      <c r="K33" s="170"/>
      <c r="L33" s="171"/>
    </row>
    <row r="34" spans="1:19" s="1" customFormat="1" ht="28.5" customHeight="1" thickBot="1" x14ac:dyDescent="0.25">
      <c r="A34" s="60"/>
      <c r="B34" s="66"/>
      <c r="C34" s="57" t="s">
        <v>103</v>
      </c>
      <c r="D34" s="57"/>
      <c r="E34" s="57"/>
      <c r="F34" s="57"/>
      <c r="G34" s="57"/>
      <c r="H34" s="57"/>
      <c r="I34" s="172"/>
      <c r="J34" s="172"/>
      <c r="K34" s="172"/>
      <c r="L34" s="173"/>
    </row>
    <row r="35" spans="1:19" s="1" customFormat="1" ht="28.5" customHeight="1" x14ac:dyDescent="0.2">
      <c r="A35" s="31"/>
      <c r="B35" s="110"/>
      <c r="C35" s="110"/>
      <c r="D35" s="110"/>
      <c r="E35" s="110"/>
      <c r="F35" s="110"/>
      <c r="G35" s="110"/>
      <c r="H35" s="110"/>
      <c r="I35" s="110"/>
      <c r="J35" s="110"/>
      <c r="K35" s="110"/>
      <c r="L35" s="110"/>
    </row>
    <row r="36" spans="1:19" s="1" customFormat="1" ht="28.5" customHeight="1" x14ac:dyDescent="0.2">
      <c r="A36" s="111" t="s">
        <v>89</v>
      </c>
      <c r="B36" s="111"/>
      <c r="C36" s="111"/>
      <c r="D36" s="111"/>
      <c r="E36" s="111"/>
      <c r="F36" s="111"/>
      <c r="G36" s="111"/>
      <c r="H36" s="111"/>
      <c r="I36" s="111"/>
      <c r="J36" s="111"/>
      <c r="K36" s="111"/>
      <c r="L36" s="111"/>
    </row>
    <row r="37" spans="1:19" s="1" customFormat="1" ht="28.5" customHeight="1" x14ac:dyDescent="0.2">
      <c r="A37" s="50" t="s">
        <v>133</v>
      </c>
      <c r="B37" s="112" t="s">
        <v>128</v>
      </c>
      <c r="C37" s="113"/>
      <c r="D37" s="113"/>
      <c r="E37" s="113"/>
      <c r="F37" s="113"/>
      <c r="G37" s="113"/>
      <c r="H37" s="113"/>
      <c r="I37" s="113"/>
      <c r="J37" s="113"/>
      <c r="K37" s="113"/>
      <c r="L37" s="113"/>
    </row>
    <row r="38" spans="1:19" s="1" customFormat="1" ht="28.5" customHeight="1" x14ac:dyDescent="0.2">
      <c r="A38" s="50" t="s">
        <v>134</v>
      </c>
      <c r="B38" s="112" t="s">
        <v>129</v>
      </c>
      <c r="C38" s="113"/>
      <c r="D38" s="113"/>
      <c r="E38" s="113"/>
      <c r="F38" s="113"/>
      <c r="G38" s="113"/>
      <c r="H38" s="113"/>
      <c r="I38" s="113"/>
      <c r="J38" s="113"/>
      <c r="K38" s="113"/>
      <c r="L38" s="113"/>
    </row>
    <row r="39" spans="1:19" s="1" customFormat="1" ht="28.5" customHeight="1" x14ac:dyDescent="0.2">
      <c r="A39" s="50" t="s">
        <v>135</v>
      </c>
      <c r="B39" s="112" t="s">
        <v>118</v>
      </c>
      <c r="C39" s="112"/>
      <c r="D39" s="112"/>
      <c r="E39" s="112"/>
      <c r="F39" s="112"/>
      <c r="G39" s="112"/>
      <c r="H39" s="112"/>
      <c r="I39" s="112"/>
      <c r="J39" s="112"/>
      <c r="K39" s="112"/>
      <c r="L39" s="112"/>
    </row>
    <row r="40" spans="1:19" s="1" customFormat="1" ht="28.5" customHeight="1" x14ac:dyDescent="0.2">
      <c r="A40" s="50" t="s">
        <v>136</v>
      </c>
      <c r="B40" s="112" t="s">
        <v>130</v>
      </c>
      <c r="C40" s="112"/>
      <c r="D40" s="112"/>
      <c r="E40" s="112"/>
      <c r="F40" s="112"/>
      <c r="G40" s="112"/>
      <c r="H40" s="112"/>
      <c r="I40" s="112"/>
      <c r="J40" s="112"/>
      <c r="K40" s="112"/>
      <c r="L40" s="112"/>
      <c r="N40" s="34"/>
    </row>
    <row r="41" spans="1:19" ht="27.75" customHeight="1" x14ac:dyDescent="0.2">
      <c r="A41" s="33"/>
      <c r="B41" s="89"/>
      <c r="C41" s="89"/>
      <c r="D41" s="89"/>
      <c r="E41" s="89"/>
      <c r="F41" s="89"/>
      <c r="G41" s="89"/>
      <c r="H41" s="89"/>
      <c r="I41" s="89"/>
      <c r="J41" s="89"/>
      <c r="K41" s="89"/>
      <c r="L41" s="89"/>
      <c r="N41" s="34"/>
      <c r="O41" s="34"/>
      <c r="P41" s="34"/>
      <c r="Q41" s="34"/>
      <c r="R41" s="34"/>
      <c r="S41" s="34"/>
    </row>
    <row r="42" spans="1:19" s="4" customFormat="1" ht="60" customHeight="1" x14ac:dyDescent="0.2">
      <c r="A42" s="152" t="s">
        <v>2</v>
      </c>
      <c r="B42" s="6" t="s">
        <v>151</v>
      </c>
      <c r="C42" s="153" t="s">
        <v>91</v>
      </c>
      <c r="D42" s="103"/>
      <c r="E42" s="154" t="s">
        <v>142</v>
      </c>
      <c r="F42" s="6" t="s">
        <v>131</v>
      </c>
      <c r="G42" s="6" t="s">
        <v>90</v>
      </c>
      <c r="H42" s="153" t="s">
        <v>93</v>
      </c>
      <c r="I42" s="155"/>
      <c r="J42" s="156" t="s">
        <v>94</v>
      </c>
      <c r="K42" s="157"/>
      <c r="L42" s="42" t="s">
        <v>92</v>
      </c>
      <c r="M42" s="164" t="s">
        <v>161</v>
      </c>
      <c r="N42" s="165" t="s">
        <v>162</v>
      </c>
      <c r="O42" s="40"/>
      <c r="P42" s="38"/>
      <c r="Q42" s="38"/>
    </row>
    <row r="43" spans="1:19" s="4" customFormat="1" ht="19.5" customHeight="1" x14ac:dyDescent="0.2">
      <c r="A43" s="160" t="str">
        <f>IF(ROW(A43)-42&lt;=$E$14,ROW(A43)-42,"")</f>
        <v/>
      </c>
      <c r="B43" s="151" t="str">
        <f>IF(A43="","",'sample table mirror'!A3)</f>
        <v/>
      </c>
      <c r="C43" s="166"/>
      <c r="D43" s="166"/>
      <c r="E43" s="167"/>
      <c r="F43" s="167"/>
      <c r="G43" s="167"/>
      <c r="H43" s="168"/>
      <c r="I43" s="168"/>
      <c r="J43" s="168"/>
      <c r="K43" s="168"/>
      <c r="L43" s="167"/>
      <c r="M43" s="4">
        <f>'sample table mirror'!L3</f>
        <v>0</v>
      </c>
      <c r="N43" s="162" t="str">
        <f>IF(M43&gt;0,IF(M43&lt;10,"Sample Name can have letters, numbers, and dash (-) only. No spaces or other characters please!",IF(M43=10,"Sample Names must be unique!",IF(M43=100,"Sample count above doesn’t match sample list!"))),"")</f>
        <v/>
      </c>
      <c r="O43" s="43"/>
      <c r="P43" s="39"/>
      <c r="Q43" s="36"/>
    </row>
    <row r="44" spans="1:19" s="4" customFormat="1" ht="19.5" customHeight="1" x14ac:dyDescent="0.2">
      <c r="A44" s="160" t="str">
        <f t="shared" ref="A44:A107" si="0">IF(ROW(A44)-42&lt;=$E$14,ROW(A44)-42,"")</f>
        <v/>
      </c>
      <c r="B44" s="151" t="str">
        <f>IF(A44="","",'sample table mirror'!A4)</f>
        <v/>
      </c>
      <c r="C44" s="166"/>
      <c r="D44" s="166"/>
      <c r="E44" s="167"/>
      <c r="F44" s="167"/>
      <c r="G44" s="167"/>
      <c r="H44" s="168"/>
      <c r="I44" s="168"/>
      <c r="J44" s="168"/>
      <c r="K44" s="168"/>
      <c r="L44" s="167"/>
      <c r="M44" s="4">
        <f>'sample table mirror'!L4</f>
        <v>0</v>
      </c>
      <c r="N44" s="162" t="str">
        <f t="shared" ref="N44:N107" si="1">IF(M44&gt;0,IF(M44&lt;10,"Sample Name can have letters, numbers, and dash (-) only. No spaces or other characters please!",IF(M44=10,"Sample Names must be unique!",IF(M44=100,"Sample count above doesn’t match sample list!"))),"")</f>
        <v/>
      </c>
      <c r="O44" s="43"/>
      <c r="P44" s="39"/>
      <c r="Q44" s="36"/>
    </row>
    <row r="45" spans="1:19" s="4" customFormat="1" ht="19.5" customHeight="1" x14ac:dyDescent="0.2">
      <c r="A45" s="160" t="str">
        <f t="shared" si="0"/>
        <v/>
      </c>
      <c r="B45" s="151" t="str">
        <f>IF(A45="","",'sample table mirror'!A5)</f>
        <v/>
      </c>
      <c r="C45" s="166"/>
      <c r="D45" s="166"/>
      <c r="E45" s="167"/>
      <c r="F45" s="167"/>
      <c r="G45" s="167"/>
      <c r="H45" s="168"/>
      <c r="I45" s="168"/>
      <c r="J45" s="168"/>
      <c r="K45" s="168"/>
      <c r="L45" s="167"/>
      <c r="M45" s="4">
        <f>'sample table mirror'!L5</f>
        <v>0</v>
      </c>
      <c r="N45" s="162" t="str">
        <f t="shared" si="1"/>
        <v/>
      </c>
      <c r="O45" s="43"/>
      <c r="P45" s="39"/>
      <c r="Q45" s="36"/>
    </row>
    <row r="46" spans="1:19" s="4" customFormat="1" ht="19.5" customHeight="1" x14ac:dyDescent="0.2">
      <c r="A46" s="160" t="str">
        <f t="shared" si="0"/>
        <v/>
      </c>
      <c r="B46" s="151" t="str">
        <f>IF(A46="","",'sample table mirror'!A6)</f>
        <v/>
      </c>
      <c r="C46" s="166"/>
      <c r="D46" s="166"/>
      <c r="E46" s="167"/>
      <c r="F46" s="167"/>
      <c r="G46" s="167"/>
      <c r="H46" s="168"/>
      <c r="I46" s="168"/>
      <c r="J46" s="168"/>
      <c r="K46" s="168"/>
      <c r="L46" s="167"/>
      <c r="M46" s="4">
        <f>'sample table mirror'!L6</f>
        <v>0</v>
      </c>
      <c r="N46" s="162" t="str">
        <f t="shared" si="1"/>
        <v/>
      </c>
      <c r="O46" s="43"/>
      <c r="P46" s="39"/>
      <c r="Q46" s="36"/>
    </row>
    <row r="47" spans="1:19" s="4" customFormat="1" ht="19.5" customHeight="1" x14ac:dyDescent="0.2">
      <c r="A47" s="160" t="str">
        <f t="shared" si="0"/>
        <v/>
      </c>
      <c r="B47" s="151" t="str">
        <f>IF(A47="","",'sample table mirror'!A7)</f>
        <v/>
      </c>
      <c r="C47" s="166"/>
      <c r="D47" s="166"/>
      <c r="E47" s="167"/>
      <c r="F47" s="167"/>
      <c r="G47" s="167"/>
      <c r="H47" s="168"/>
      <c r="I47" s="168"/>
      <c r="J47" s="168"/>
      <c r="K47" s="168"/>
      <c r="L47" s="167"/>
      <c r="M47" s="4">
        <f>'sample table mirror'!L7</f>
        <v>0</v>
      </c>
      <c r="N47" s="162" t="str">
        <f t="shared" si="1"/>
        <v/>
      </c>
      <c r="O47" s="43"/>
      <c r="P47" s="39"/>
      <c r="Q47" s="36"/>
    </row>
    <row r="48" spans="1:19" s="4" customFormat="1" ht="19.5" customHeight="1" x14ac:dyDescent="0.2">
      <c r="A48" s="160" t="str">
        <f t="shared" si="0"/>
        <v/>
      </c>
      <c r="B48" s="151" t="str">
        <f>IF(A48="","",'sample table mirror'!A8)</f>
        <v/>
      </c>
      <c r="C48" s="166"/>
      <c r="D48" s="166"/>
      <c r="E48" s="167"/>
      <c r="F48" s="167"/>
      <c r="G48" s="167"/>
      <c r="H48" s="168"/>
      <c r="I48" s="168"/>
      <c r="J48" s="168"/>
      <c r="K48" s="168"/>
      <c r="L48" s="167"/>
      <c r="M48" s="4">
        <f>'sample table mirror'!L8</f>
        <v>0</v>
      </c>
      <c r="N48" s="162" t="str">
        <f t="shared" si="1"/>
        <v/>
      </c>
      <c r="O48" s="43"/>
      <c r="P48" s="39"/>
      <c r="Q48" s="36"/>
    </row>
    <row r="49" spans="1:17" s="4" customFormat="1" ht="19.5" customHeight="1" x14ac:dyDescent="0.2">
      <c r="A49" s="160" t="str">
        <f t="shared" si="0"/>
        <v/>
      </c>
      <c r="B49" s="151" t="str">
        <f>IF(A49="","",'sample table mirror'!A9)</f>
        <v/>
      </c>
      <c r="C49" s="166"/>
      <c r="D49" s="166"/>
      <c r="E49" s="167"/>
      <c r="F49" s="167"/>
      <c r="G49" s="167"/>
      <c r="H49" s="168"/>
      <c r="I49" s="168"/>
      <c r="J49" s="168"/>
      <c r="K49" s="168"/>
      <c r="L49" s="167"/>
      <c r="M49" s="4">
        <f>'sample table mirror'!L9</f>
        <v>0</v>
      </c>
      <c r="N49" s="162" t="str">
        <f t="shared" si="1"/>
        <v/>
      </c>
      <c r="O49" s="43"/>
      <c r="P49" s="39"/>
      <c r="Q49" s="36"/>
    </row>
    <row r="50" spans="1:17" s="4" customFormat="1" ht="19.5" customHeight="1" x14ac:dyDescent="0.2">
      <c r="A50" s="160" t="str">
        <f t="shared" si="0"/>
        <v/>
      </c>
      <c r="B50" s="151" t="str">
        <f>IF(A50="","",'sample table mirror'!A10)</f>
        <v/>
      </c>
      <c r="C50" s="166"/>
      <c r="D50" s="166"/>
      <c r="E50" s="167"/>
      <c r="F50" s="167"/>
      <c r="G50" s="167"/>
      <c r="H50" s="168"/>
      <c r="I50" s="168"/>
      <c r="J50" s="168"/>
      <c r="K50" s="168"/>
      <c r="L50" s="167"/>
      <c r="M50" s="4">
        <f>'sample table mirror'!L10</f>
        <v>0</v>
      </c>
      <c r="N50" s="162" t="str">
        <f t="shared" si="1"/>
        <v/>
      </c>
      <c r="O50" s="43"/>
      <c r="P50" s="39"/>
      <c r="Q50" s="36"/>
    </row>
    <row r="51" spans="1:17" s="4" customFormat="1" ht="19.5" customHeight="1" x14ac:dyDescent="0.2">
      <c r="A51" s="160" t="str">
        <f t="shared" si="0"/>
        <v/>
      </c>
      <c r="B51" s="151" t="str">
        <f>IF(A51="","",'sample table mirror'!A11)</f>
        <v/>
      </c>
      <c r="C51" s="166"/>
      <c r="D51" s="166"/>
      <c r="E51" s="167"/>
      <c r="F51" s="167"/>
      <c r="G51" s="167"/>
      <c r="H51" s="168"/>
      <c r="I51" s="168"/>
      <c r="J51" s="168"/>
      <c r="K51" s="168"/>
      <c r="L51" s="167"/>
      <c r="M51" s="4">
        <f>'sample table mirror'!L11</f>
        <v>0</v>
      </c>
      <c r="N51" s="162" t="str">
        <f t="shared" si="1"/>
        <v/>
      </c>
      <c r="O51" s="43"/>
      <c r="P51" s="39"/>
      <c r="Q51" s="36"/>
    </row>
    <row r="52" spans="1:17" s="4" customFormat="1" ht="19.5" customHeight="1" x14ac:dyDescent="0.2">
      <c r="A52" s="160" t="str">
        <f t="shared" si="0"/>
        <v/>
      </c>
      <c r="B52" s="151" t="str">
        <f>IF(A52="","",'sample table mirror'!A12)</f>
        <v/>
      </c>
      <c r="C52" s="166"/>
      <c r="D52" s="166"/>
      <c r="E52" s="167"/>
      <c r="F52" s="167"/>
      <c r="G52" s="167"/>
      <c r="H52" s="168"/>
      <c r="I52" s="168"/>
      <c r="J52" s="168"/>
      <c r="K52" s="168"/>
      <c r="L52" s="167"/>
      <c r="M52" s="4">
        <f>'sample table mirror'!L12</f>
        <v>0</v>
      </c>
      <c r="N52" s="162" t="str">
        <f t="shared" si="1"/>
        <v/>
      </c>
      <c r="O52" s="43"/>
      <c r="P52" s="39"/>
      <c r="Q52" s="36"/>
    </row>
    <row r="53" spans="1:17" ht="19.5" customHeight="1" x14ac:dyDescent="0.2">
      <c r="A53" s="160" t="str">
        <f t="shared" si="0"/>
        <v/>
      </c>
      <c r="B53" s="151" t="str">
        <f>IF(A53="","",'sample table mirror'!A13)</f>
        <v/>
      </c>
      <c r="C53" s="166"/>
      <c r="D53" s="166"/>
      <c r="E53" s="167"/>
      <c r="F53" s="167"/>
      <c r="G53" s="167"/>
      <c r="H53" s="168"/>
      <c r="I53" s="168"/>
      <c r="J53" s="168"/>
      <c r="K53" s="168"/>
      <c r="L53" s="169"/>
      <c r="M53" s="4">
        <f>'sample table mirror'!L13</f>
        <v>0</v>
      </c>
      <c r="N53" s="162" t="str">
        <f t="shared" si="1"/>
        <v/>
      </c>
      <c r="O53" s="46"/>
      <c r="P53" s="39"/>
      <c r="Q53" s="36"/>
    </row>
    <row r="54" spans="1:17" ht="19.5" customHeight="1" x14ac:dyDescent="0.2">
      <c r="A54" s="160" t="str">
        <f t="shared" si="0"/>
        <v/>
      </c>
      <c r="B54" s="151" t="str">
        <f>IF(A54="","",'sample table mirror'!A14)</f>
        <v/>
      </c>
      <c r="C54" s="166"/>
      <c r="D54" s="166"/>
      <c r="E54" s="167"/>
      <c r="F54" s="167"/>
      <c r="G54" s="167"/>
      <c r="H54" s="168"/>
      <c r="I54" s="168"/>
      <c r="J54" s="168"/>
      <c r="K54" s="168"/>
      <c r="L54" s="169"/>
      <c r="M54" s="4">
        <f>'sample table mirror'!L14</f>
        <v>0</v>
      </c>
      <c r="N54" s="162" t="str">
        <f t="shared" si="1"/>
        <v/>
      </c>
      <c r="O54" s="46"/>
      <c r="P54" s="39"/>
      <c r="Q54" s="36"/>
    </row>
    <row r="55" spans="1:17" ht="19.5" customHeight="1" x14ac:dyDescent="0.2">
      <c r="A55" s="160" t="str">
        <f t="shared" si="0"/>
        <v/>
      </c>
      <c r="B55" s="151" t="str">
        <f>IF(A55="","",'sample table mirror'!A15)</f>
        <v/>
      </c>
      <c r="C55" s="166"/>
      <c r="D55" s="166"/>
      <c r="E55" s="167"/>
      <c r="F55" s="169"/>
      <c r="G55" s="169"/>
      <c r="H55" s="168"/>
      <c r="I55" s="168"/>
      <c r="J55" s="168"/>
      <c r="K55" s="168"/>
      <c r="L55" s="169"/>
      <c r="M55" s="4">
        <f>'sample table mirror'!L15</f>
        <v>0</v>
      </c>
      <c r="N55" s="162" t="str">
        <f t="shared" si="1"/>
        <v/>
      </c>
      <c r="O55" s="46"/>
      <c r="P55" s="39"/>
      <c r="Q55" s="36"/>
    </row>
    <row r="56" spans="1:17" ht="19.5" customHeight="1" x14ac:dyDescent="0.2">
      <c r="A56" s="160" t="str">
        <f t="shared" si="0"/>
        <v/>
      </c>
      <c r="B56" s="151" t="str">
        <f>IF(A56="","",'sample table mirror'!A16)</f>
        <v/>
      </c>
      <c r="C56" s="166"/>
      <c r="D56" s="166"/>
      <c r="E56" s="167"/>
      <c r="F56" s="169"/>
      <c r="G56" s="169"/>
      <c r="H56" s="168"/>
      <c r="I56" s="168"/>
      <c r="J56" s="168"/>
      <c r="K56" s="168"/>
      <c r="L56" s="169"/>
      <c r="M56" s="4">
        <f>'sample table mirror'!L16</f>
        <v>0</v>
      </c>
      <c r="N56" s="162" t="str">
        <f t="shared" si="1"/>
        <v/>
      </c>
      <c r="O56" s="46"/>
      <c r="P56" s="39"/>
      <c r="Q56" s="36"/>
    </row>
    <row r="57" spans="1:17" ht="19.5" customHeight="1" x14ac:dyDescent="0.2">
      <c r="A57" s="160" t="str">
        <f t="shared" si="0"/>
        <v/>
      </c>
      <c r="B57" s="151" t="str">
        <f>IF(A57="","",'sample table mirror'!A17)</f>
        <v/>
      </c>
      <c r="C57" s="166"/>
      <c r="D57" s="166"/>
      <c r="E57" s="167"/>
      <c r="F57" s="169"/>
      <c r="G57" s="169"/>
      <c r="H57" s="168"/>
      <c r="I57" s="168"/>
      <c r="J57" s="168"/>
      <c r="K57" s="168"/>
      <c r="L57" s="169"/>
      <c r="M57" s="4">
        <f>'sample table mirror'!L17</f>
        <v>0</v>
      </c>
      <c r="N57" s="162" t="str">
        <f t="shared" si="1"/>
        <v/>
      </c>
      <c r="O57" s="46"/>
      <c r="P57" s="39"/>
      <c r="Q57" s="36"/>
    </row>
    <row r="58" spans="1:17" ht="19.5" customHeight="1" x14ac:dyDescent="0.2">
      <c r="A58" s="160" t="str">
        <f t="shared" si="0"/>
        <v/>
      </c>
      <c r="B58" s="151" t="str">
        <f>IF(A58="","",'sample table mirror'!A18)</f>
        <v/>
      </c>
      <c r="C58" s="166"/>
      <c r="D58" s="166"/>
      <c r="E58" s="167"/>
      <c r="F58" s="169"/>
      <c r="G58" s="169"/>
      <c r="H58" s="168"/>
      <c r="I58" s="168"/>
      <c r="J58" s="168"/>
      <c r="K58" s="168"/>
      <c r="L58" s="169"/>
      <c r="M58" s="4">
        <f>'sample table mirror'!L18</f>
        <v>0</v>
      </c>
      <c r="N58" s="162" t="str">
        <f t="shared" si="1"/>
        <v/>
      </c>
      <c r="O58" s="46"/>
      <c r="P58" s="39"/>
      <c r="Q58" s="36"/>
    </row>
    <row r="59" spans="1:17" ht="19.5" customHeight="1" x14ac:dyDescent="0.2">
      <c r="A59" s="160" t="str">
        <f t="shared" si="0"/>
        <v/>
      </c>
      <c r="B59" s="151" t="str">
        <f>IF(A59="","",'sample table mirror'!A19)</f>
        <v/>
      </c>
      <c r="C59" s="166"/>
      <c r="D59" s="166"/>
      <c r="E59" s="167"/>
      <c r="F59" s="169"/>
      <c r="G59" s="169"/>
      <c r="H59" s="168"/>
      <c r="I59" s="168"/>
      <c r="J59" s="168"/>
      <c r="K59" s="168"/>
      <c r="L59" s="169"/>
      <c r="M59" s="4">
        <f>'sample table mirror'!L19</f>
        <v>0</v>
      </c>
      <c r="N59" s="162" t="str">
        <f t="shared" si="1"/>
        <v/>
      </c>
      <c r="O59" s="46"/>
      <c r="P59" s="39"/>
      <c r="Q59" s="36"/>
    </row>
    <row r="60" spans="1:17" ht="19.5" customHeight="1" x14ac:dyDescent="0.2">
      <c r="A60" s="160" t="str">
        <f t="shared" si="0"/>
        <v/>
      </c>
      <c r="B60" s="151" t="str">
        <f>IF(A60="","",'sample table mirror'!A20)</f>
        <v/>
      </c>
      <c r="C60" s="166"/>
      <c r="D60" s="166"/>
      <c r="E60" s="167"/>
      <c r="F60" s="169"/>
      <c r="G60" s="169"/>
      <c r="H60" s="168"/>
      <c r="I60" s="168"/>
      <c r="J60" s="168"/>
      <c r="K60" s="168"/>
      <c r="L60" s="169"/>
      <c r="M60" s="4">
        <f>'sample table mirror'!L20</f>
        <v>0</v>
      </c>
      <c r="N60" s="162" t="str">
        <f t="shared" si="1"/>
        <v/>
      </c>
      <c r="O60" s="46"/>
      <c r="P60" s="39"/>
      <c r="Q60" s="36"/>
    </row>
    <row r="61" spans="1:17" ht="19.5" customHeight="1" x14ac:dyDescent="0.2">
      <c r="A61" s="160" t="str">
        <f t="shared" si="0"/>
        <v/>
      </c>
      <c r="B61" s="151" t="str">
        <f>IF(A61="","",'sample table mirror'!A21)</f>
        <v/>
      </c>
      <c r="C61" s="166"/>
      <c r="D61" s="166"/>
      <c r="E61" s="167"/>
      <c r="F61" s="169"/>
      <c r="G61" s="169"/>
      <c r="H61" s="168"/>
      <c r="I61" s="168"/>
      <c r="J61" s="168"/>
      <c r="K61" s="168"/>
      <c r="L61" s="169"/>
      <c r="M61" s="4">
        <f>'sample table mirror'!L21</f>
        <v>0</v>
      </c>
      <c r="N61" s="162" t="str">
        <f t="shared" si="1"/>
        <v/>
      </c>
      <c r="O61" s="46"/>
      <c r="P61" s="39"/>
      <c r="Q61" s="36"/>
    </row>
    <row r="62" spans="1:17" ht="19.5" customHeight="1" x14ac:dyDescent="0.2">
      <c r="A62" s="160" t="str">
        <f t="shared" si="0"/>
        <v/>
      </c>
      <c r="B62" s="151" t="str">
        <f>IF(A62="","",'sample table mirror'!A22)</f>
        <v/>
      </c>
      <c r="C62" s="166"/>
      <c r="D62" s="166"/>
      <c r="E62" s="167"/>
      <c r="F62" s="169"/>
      <c r="G62" s="169"/>
      <c r="H62" s="168"/>
      <c r="I62" s="168"/>
      <c r="J62" s="168"/>
      <c r="K62" s="168"/>
      <c r="L62" s="169"/>
      <c r="M62" s="4">
        <f>'sample table mirror'!L22</f>
        <v>0</v>
      </c>
      <c r="N62" s="162" t="str">
        <f t="shared" si="1"/>
        <v/>
      </c>
      <c r="O62" s="46"/>
      <c r="P62" s="39"/>
      <c r="Q62" s="36"/>
    </row>
    <row r="63" spans="1:17" ht="19.5" customHeight="1" x14ac:dyDescent="0.2">
      <c r="A63" s="160" t="str">
        <f t="shared" si="0"/>
        <v/>
      </c>
      <c r="B63" s="151" t="str">
        <f>IF(A63="","",'sample table mirror'!A23)</f>
        <v/>
      </c>
      <c r="C63" s="166"/>
      <c r="D63" s="166"/>
      <c r="E63" s="167"/>
      <c r="F63" s="169"/>
      <c r="G63" s="169"/>
      <c r="H63" s="168"/>
      <c r="I63" s="168"/>
      <c r="J63" s="168"/>
      <c r="K63" s="168"/>
      <c r="L63" s="169"/>
      <c r="M63" s="4">
        <f>'sample table mirror'!L23</f>
        <v>0</v>
      </c>
      <c r="N63" s="162" t="str">
        <f t="shared" si="1"/>
        <v/>
      </c>
      <c r="O63" s="46"/>
      <c r="P63" s="39"/>
      <c r="Q63" s="36"/>
    </row>
    <row r="64" spans="1:17" ht="19.5" customHeight="1" x14ac:dyDescent="0.2">
      <c r="A64" s="160" t="str">
        <f t="shared" si="0"/>
        <v/>
      </c>
      <c r="B64" s="151" t="str">
        <f>IF(A64="","",'sample table mirror'!A24)</f>
        <v/>
      </c>
      <c r="C64" s="166"/>
      <c r="D64" s="166"/>
      <c r="E64" s="167"/>
      <c r="F64" s="169"/>
      <c r="G64" s="169"/>
      <c r="H64" s="168"/>
      <c r="I64" s="168"/>
      <c r="J64" s="168"/>
      <c r="K64" s="168"/>
      <c r="L64" s="169"/>
      <c r="M64" s="4">
        <f>'sample table mirror'!L24</f>
        <v>0</v>
      </c>
      <c r="N64" s="162" t="str">
        <f t="shared" si="1"/>
        <v/>
      </c>
      <c r="O64" s="46"/>
      <c r="P64" s="39"/>
      <c r="Q64" s="36"/>
    </row>
    <row r="65" spans="1:17" ht="19.5" customHeight="1" x14ac:dyDescent="0.2">
      <c r="A65" s="160" t="str">
        <f t="shared" si="0"/>
        <v/>
      </c>
      <c r="B65" s="151" t="str">
        <f>IF(A65="","",'sample table mirror'!A25)</f>
        <v/>
      </c>
      <c r="C65" s="166"/>
      <c r="D65" s="166"/>
      <c r="E65" s="167"/>
      <c r="F65" s="169"/>
      <c r="G65" s="169"/>
      <c r="H65" s="168"/>
      <c r="I65" s="168"/>
      <c r="J65" s="168"/>
      <c r="K65" s="168"/>
      <c r="L65" s="169"/>
      <c r="M65" s="4">
        <f>'sample table mirror'!L25</f>
        <v>0</v>
      </c>
      <c r="N65" s="162" t="str">
        <f t="shared" si="1"/>
        <v/>
      </c>
      <c r="O65" s="46"/>
      <c r="P65" s="39"/>
      <c r="Q65" s="36"/>
    </row>
    <row r="66" spans="1:17" ht="19.5" customHeight="1" x14ac:dyDescent="0.2">
      <c r="A66" s="160" t="str">
        <f t="shared" si="0"/>
        <v/>
      </c>
      <c r="B66" s="151" t="str">
        <f>IF(A66="","",'sample table mirror'!A26)</f>
        <v/>
      </c>
      <c r="C66" s="166"/>
      <c r="D66" s="166"/>
      <c r="E66" s="167"/>
      <c r="F66" s="169"/>
      <c r="G66" s="169"/>
      <c r="H66" s="168"/>
      <c r="I66" s="168"/>
      <c r="J66" s="168"/>
      <c r="K66" s="168"/>
      <c r="L66" s="169"/>
      <c r="M66" s="4">
        <f>'sample table mirror'!L26</f>
        <v>0</v>
      </c>
      <c r="N66" s="162" t="str">
        <f t="shared" si="1"/>
        <v/>
      </c>
      <c r="O66" s="46"/>
      <c r="P66" s="39"/>
      <c r="Q66" s="36"/>
    </row>
    <row r="67" spans="1:17" ht="19.5" customHeight="1" x14ac:dyDescent="0.2">
      <c r="A67" s="160" t="str">
        <f t="shared" si="0"/>
        <v/>
      </c>
      <c r="B67" s="151" t="str">
        <f>IF(A67="","",'sample table mirror'!A27)</f>
        <v/>
      </c>
      <c r="C67" s="166"/>
      <c r="D67" s="166"/>
      <c r="E67" s="167"/>
      <c r="F67" s="169"/>
      <c r="G67" s="169"/>
      <c r="H67" s="168"/>
      <c r="I67" s="168"/>
      <c r="J67" s="168"/>
      <c r="K67" s="168"/>
      <c r="L67" s="169"/>
      <c r="M67" s="4">
        <f>'sample table mirror'!L27</f>
        <v>0</v>
      </c>
      <c r="N67" s="162" t="str">
        <f t="shared" si="1"/>
        <v/>
      </c>
      <c r="O67" s="46"/>
      <c r="P67" s="39"/>
      <c r="Q67" s="36"/>
    </row>
    <row r="68" spans="1:17" ht="19.5" customHeight="1" x14ac:dyDescent="0.2">
      <c r="A68" s="160" t="str">
        <f t="shared" si="0"/>
        <v/>
      </c>
      <c r="B68" s="151" t="str">
        <f>IF(A68="","",'sample table mirror'!A28)</f>
        <v/>
      </c>
      <c r="C68" s="166"/>
      <c r="D68" s="166"/>
      <c r="E68" s="167"/>
      <c r="F68" s="169"/>
      <c r="G68" s="169"/>
      <c r="H68" s="168"/>
      <c r="I68" s="168"/>
      <c r="J68" s="168"/>
      <c r="K68" s="168"/>
      <c r="L68" s="169"/>
      <c r="M68" s="4">
        <f>'sample table mirror'!L28</f>
        <v>0</v>
      </c>
      <c r="N68" s="162" t="str">
        <f t="shared" si="1"/>
        <v/>
      </c>
      <c r="O68" s="46"/>
      <c r="P68" s="39"/>
      <c r="Q68" s="36"/>
    </row>
    <row r="69" spans="1:17" ht="19.5" customHeight="1" x14ac:dyDescent="0.2">
      <c r="A69" s="160" t="str">
        <f t="shared" si="0"/>
        <v/>
      </c>
      <c r="B69" s="151" t="str">
        <f>IF(A69="","",'sample table mirror'!A29)</f>
        <v/>
      </c>
      <c r="C69" s="166"/>
      <c r="D69" s="166"/>
      <c r="E69" s="167"/>
      <c r="F69" s="169"/>
      <c r="G69" s="169"/>
      <c r="H69" s="168"/>
      <c r="I69" s="168"/>
      <c r="J69" s="168"/>
      <c r="K69" s="168"/>
      <c r="L69" s="169"/>
      <c r="M69" s="4">
        <f>'sample table mirror'!L29</f>
        <v>0</v>
      </c>
      <c r="N69" s="162" t="str">
        <f t="shared" si="1"/>
        <v/>
      </c>
      <c r="O69" s="46"/>
      <c r="P69" s="39"/>
      <c r="Q69" s="36"/>
    </row>
    <row r="70" spans="1:17" ht="19.5" customHeight="1" x14ac:dyDescent="0.2">
      <c r="A70" s="160" t="str">
        <f t="shared" si="0"/>
        <v/>
      </c>
      <c r="B70" s="151" t="str">
        <f>IF(A70="","",'sample table mirror'!A30)</f>
        <v/>
      </c>
      <c r="C70" s="166"/>
      <c r="D70" s="166"/>
      <c r="E70" s="167"/>
      <c r="F70" s="169"/>
      <c r="G70" s="169"/>
      <c r="H70" s="168"/>
      <c r="I70" s="168"/>
      <c r="J70" s="168"/>
      <c r="K70" s="168"/>
      <c r="L70" s="169"/>
      <c r="M70" s="4">
        <f>'sample table mirror'!L30</f>
        <v>0</v>
      </c>
      <c r="N70" s="162" t="str">
        <f t="shared" si="1"/>
        <v/>
      </c>
      <c r="O70" s="46"/>
      <c r="P70" s="39"/>
      <c r="Q70" s="36"/>
    </row>
    <row r="71" spans="1:17" ht="19.5" customHeight="1" x14ac:dyDescent="0.2">
      <c r="A71" s="160" t="str">
        <f t="shared" si="0"/>
        <v/>
      </c>
      <c r="B71" s="151" t="str">
        <f>IF(A71="","",'sample table mirror'!A31)</f>
        <v/>
      </c>
      <c r="C71" s="166"/>
      <c r="D71" s="166"/>
      <c r="E71" s="167"/>
      <c r="F71" s="169"/>
      <c r="G71" s="169"/>
      <c r="H71" s="168"/>
      <c r="I71" s="168"/>
      <c r="J71" s="168"/>
      <c r="K71" s="168"/>
      <c r="L71" s="169"/>
      <c r="M71" s="4">
        <f>'sample table mirror'!L31</f>
        <v>0</v>
      </c>
      <c r="N71" s="162" t="str">
        <f t="shared" si="1"/>
        <v/>
      </c>
      <c r="O71" s="46"/>
      <c r="P71" s="39"/>
      <c r="Q71" s="36"/>
    </row>
    <row r="72" spans="1:17" ht="19.5" customHeight="1" x14ac:dyDescent="0.2">
      <c r="A72" s="160" t="str">
        <f t="shared" si="0"/>
        <v/>
      </c>
      <c r="B72" s="151" t="str">
        <f>IF(A72="","",'sample table mirror'!A32)</f>
        <v/>
      </c>
      <c r="C72" s="166"/>
      <c r="D72" s="166"/>
      <c r="E72" s="167"/>
      <c r="F72" s="169"/>
      <c r="G72" s="169"/>
      <c r="H72" s="168"/>
      <c r="I72" s="168"/>
      <c r="J72" s="168"/>
      <c r="K72" s="168"/>
      <c r="L72" s="169"/>
      <c r="M72" s="4">
        <f>'sample table mirror'!L32</f>
        <v>0</v>
      </c>
      <c r="N72" s="162" t="str">
        <f t="shared" si="1"/>
        <v/>
      </c>
      <c r="O72" s="46"/>
      <c r="P72" s="39"/>
      <c r="Q72" s="36"/>
    </row>
    <row r="73" spans="1:17" ht="19.5" customHeight="1" x14ac:dyDescent="0.2">
      <c r="A73" s="160" t="str">
        <f t="shared" si="0"/>
        <v/>
      </c>
      <c r="B73" s="151" t="str">
        <f>IF(A73="","",'sample table mirror'!A33)</f>
        <v/>
      </c>
      <c r="C73" s="166"/>
      <c r="D73" s="166"/>
      <c r="E73" s="167"/>
      <c r="F73" s="169"/>
      <c r="G73" s="169"/>
      <c r="H73" s="168"/>
      <c r="I73" s="168"/>
      <c r="J73" s="168"/>
      <c r="K73" s="168"/>
      <c r="L73" s="169"/>
      <c r="M73" s="4">
        <f>'sample table mirror'!L33</f>
        <v>0</v>
      </c>
      <c r="N73" s="162" t="str">
        <f t="shared" si="1"/>
        <v/>
      </c>
      <c r="O73" s="46"/>
      <c r="P73" s="39"/>
      <c r="Q73" s="36"/>
    </row>
    <row r="74" spans="1:17" ht="19.5" customHeight="1" x14ac:dyDescent="0.2">
      <c r="A74" s="160" t="str">
        <f t="shared" si="0"/>
        <v/>
      </c>
      <c r="B74" s="151" t="str">
        <f>IF(A74="","",'sample table mirror'!A34)</f>
        <v/>
      </c>
      <c r="C74" s="166"/>
      <c r="D74" s="166"/>
      <c r="E74" s="167"/>
      <c r="F74" s="169"/>
      <c r="G74" s="169"/>
      <c r="H74" s="168"/>
      <c r="I74" s="168"/>
      <c r="J74" s="168"/>
      <c r="K74" s="168"/>
      <c r="L74" s="169"/>
      <c r="M74" s="4">
        <f>'sample table mirror'!L34</f>
        <v>0</v>
      </c>
      <c r="N74" s="162" t="str">
        <f t="shared" si="1"/>
        <v/>
      </c>
      <c r="O74" s="46"/>
      <c r="P74" s="39"/>
      <c r="Q74" s="36"/>
    </row>
    <row r="75" spans="1:17" ht="19.5" customHeight="1" x14ac:dyDescent="0.2">
      <c r="A75" s="160" t="str">
        <f t="shared" si="0"/>
        <v/>
      </c>
      <c r="B75" s="151" t="str">
        <f>IF(A75="","",'sample table mirror'!A35)</f>
        <v/>
      </c>
      <c r="C75" s="166"/>
      <c r="D75" s="166"/>
      <c r="E75" s="167"/>
      <c r="F75" s="169"/>
      <c r="G75" s="169"/>
      <c r="H75" s="168"/>
      <c r="I75" s="168"/>
      <c r="J75" s="168"/>
      <c r="K75" s="168"/>
      <c r="L75" s="169"/>
      <c r="M75" s="4">
        <f>'sample table mirror'!L35</f>
        <v>0</v>
      </c>
      <c r="N75" s="162" t="str">
        <f t="shared" si="1"/>
        <v/>
      </c>
      <c r="O75" s="46"/>
      <c r="P75" s="39"/>
      <c r="Q75" s="36"/>
    </row>
    <row r="76" spans="1:17" ht="19.5" customHeight="1" x14ac:dyDescent="0.2">
      <c r="A76" s="160" t="str">
        <f t="shared" si="0"/>
        <v/>
      </c>
      <c r="B76" s="151" t="str">
        <f>IF(A76="","",'sample table mirror'!A36)</f>
        <v/>
      </c>
      <c r="C76" s="166"/>
      <c r="D76" s="166"/>
      <c r="E76" s="167"/>
      <c r="F76" s="169"/>
      <c r="G76" s="169"/>
      <c r="H76" s="168"/>
      <c r="I76" s="168"/>
      <c r="J76" s="168"/>
      <c r="K76" s="168"/>
      <c r="L76" s="169"/>
      <c r="M76" s="4">
        <f>'sample table mirror'!L36</f>
        <v>0</v>
      </c>
      <c r="N76" s="162" t="str">
        <f t="shared" si="1"/>
        <v/>
      </c>
      <c r="O76" s="46"/>
      <c r="P76" s="39"/>
      <c r="Q76" s="36"/>
    </row>
    <row r="77" spans="1:17" ht="19.5" customHeight="1" x14ac:dyDescent="0.2">
      <c r="A77" s="160" t="str">
        <f t="shared" si="0"/>
        <v/>
      </c>
      <c r="B77" s="151" t="str">
        <f>IF(A77="","",'sample table mirror'!A37)</f>
        <v/>
      </c>
      <c r="C77" s="166"/>
      <c r="D77" s="166"/>
      <c r="E77" s="167"/>
      <c r="F77" s="169"/>
      <c r="G77" s="169"/>
      <c r="H77" s="168"/>
      <c r="I77" s="168"/>
      <c r="J77" s="168"/>
      <c r="K77" s="168"/>
      <c r="L77" s="169"/>
      <c r="M77" s="4">
        <f>'sample table mirror'!L37</f>
        <v>0</v>
      </c>
      <c r="N77" s="162" t="str">
        <f t="shared" si="1"/>
        <v/>
      </c>
      <c r="O77" s="46"/>
      <c r="P77" s="39"/>
      <c r="Q77" s="36"/>
    </row>
    <row r="78" spans="1:17" ht="19.5" customHeight="1" x14ac:dyDescent="0.2">
      <c r="A78" s="160" t="str">
        <f t="shared" si="0"/>
        <v/>
      </c>
      <c r="B78" s="151" t="str">
        <f>IF(A78="","",'sample table mirror'!A38)</f>
        <v/>
      </c>
      <c r="C78" s="166"/>
      <c r="D78" s="166"/>
      <c r="E78" s="167"/>
      <c r="F78" s="169"/>
      <c r="G78" s="169"/>
      <c r="H78" s="168"/>
      <c r="I78" s="168"/>
      <c r="J78" s="168"/>
      <c r="K78" s="168"/>
      <c r="L78" s="169"/>
      <c r="M78" s="4">
        <f>'sample table mirror'!L38</f>
        <v>0</v>
      </c>
      <c r="N78" s="162" t="str">
        <f t="shared" si="1"/>
        <v/>
      </c>
      <c r="O78" s="46"/>
      <c r="P78" s="39"/>
      <c r="Q78" s="36"/>
    </row>
    <row r="79" spans="1:17" ht="19.5" customHeight="1" x14ac:dyDescent="0.2">
      <c r="A79" s="160" t="str">
        <f t="shared" si="0"/>
        <v/>
      </c>
      <c r="B79" s="151" t="str">
        <f>IF(A79="","",'sample table mirror'!A39)</f>
        <v/>
      </c>
      <c r="C79" s="166"/>
      <c r="D79" s="166"/>
      <c r="E79" s="167"/>
      <c r="F79" s="169"/>
      <c r="G79" s="169"/>
      <c r="H79" s="168"/>
      <c r="I79" s="168"/>
      <c r="J79" s="168"/>
      <c r="K79" s="168"/>
      <c r="L79" s="169"/>
      <c r="M79" s="4">
        <f>'sample table mirror'!L39</f>
        <v>0</v>
      </c>
      <c r="N79" s="162" t="str">
        <f t="shared" si="1"/>
        <v/>
      </c>
      <c r="O79" s="46"/>
      <c r="P79" s="39"/>
      <c r="Q79" s="36"/>
    </row>
    <row r="80" spans="1:17" ht="19.5" customHeight="1" x14ac:dyDescent="0.2">
      <c r="A80" s="160" t="str">
        <f t="shared" si="0"/>
        <v/>
      </c>
      <c r="B80" s="151" t="str">
        <f>IF(A80="","",'sample table mirror'!A40)</f>
        <v/>
      </c>
      <c r="C80" s="166"/>
      <c r="D80" s="166"/>
      <c r="E80" s="167"/>
      <c r="F80" s="169"/>
      <c r="G80" s="169"/>
      <c r="H80" s="168"/>
      <c r="I80" s="168"/>
      <c r="J80" s="168"/>
      <c r="K80" s="168"/>
      <c r="L80" s="169"/>
      <c r="M80" s="4">
        <f>'sample table mirror'!L40</f>
        <v>0</v>
      </c>
      <c r="N80" s="162" t="str">
        <f t="shared" si="1"/>
        <v/>
      </c>
      <c r="O80" s="46"/>
      <c r="P80" s="39"/>
      <c r="Q80" s="36"/>
    </row>
    <row r="81" spans="1:17" ht="19.5" customHeight="1" x14ac:dyDescent="0.2">
      <c r="A81" s="160" t="str">
        <f t="shared" si="0"/>
        <v/>
      </c>
      <c r="B81" s="151" t="str">
        <f>IF(A81="","",'sample table mirror'!A41)</f>
        <v/>
      </c>
      <c r="C81" s="166"/>
      <c r="D81" s="166"/>
      <c r="E81" s="167"/>
      <c r="F81" s="169"/>
      <c r="G81" s="169"/>
      <c r="H81" s="168"/>
      <c r="I81" s="168"/>
      <c r="J81" s="168"/>
      <c r="K81" s="168"/>
      <c r="L81" s="169"/>
      <c r="M81" s="4">
        <f>'sample table mirror'!L41</f>
        <v>0</v>
      </c>
      <c r="N81" s="162" t="str">
        <f t="shared" si="1"/>
        <v/>
      </c>
      <c r="O81" s="46"/>
      <c r="P81" s="39"/>
      <c r="Q81" s="36"/>
    </row>
    <row r="82" spans="1:17" ht="19.5" customHeight="1" x14ac:dyDescent="0.2">
      <c r="A82" s="160" t="str">
        <f t="shared" si="0"/>
        <v/>
      </c>
      <c r="B82" s="151" t="str">
        <f>IF(A82="","",'sample table mirror'!A42)</f>
        <v/>
      </c>
      <c r="C82" s="166"/>
      <c r="D82" s="166"/>
      <c r="E82" s="167"/>
      <c r="F82" s="169"/>
      <c r="G82" s="169"/>
      <c r="H82" s="168"/>
      <c r="I82" s="168"/>
      <c r="J82" s="168"/>
      <c r="K82" s="168"/>
      <c r="L82" s="169"/>
      <c r="M82" s="4">
        <f>'sample table mirror'!L42</f>
        <v>0</v>
      </c>
      <c r="N82" s="162" t="str">
        <f t="shared" si="1"/>
        <v/>
      </c>
      <c r="O82" s="46"/>
      <c r="P82" s="39"/>
      <c r="Q82" s="36"/>
    </row>
    <row r="83" spans="1:17" ht="19.5" customHeight="1" x14ac:dyDescent="0.2">
      <c r="A83" s="160" t="str">
        <f t="shared" si="0"/>
        <v/>
      </c>
      <c r="B83" s="151" t="str">
        <f>IF(A83="","",'sample table mirror'!A43)</f>
        <v/>
      </c>
      <c r="C83" s="166"/>
      <c r="D83" s="166"/>
      <c r="E83" s="167"/>
      <c r="F83" s="169"/>
      <c r="G83" s="169"/>
      <c r="H83" s="168"/>
      <c r="I83" s="168"/>
      <c r="J83" s="168"/>
      <c r="K83" s="168"/>
      <c r="L83" s="169"/>
      <c r="M83" s="4">
        <f>'sample table mirror'!L43</f>
        <v>0</v>
      </c>
      <c r="N83" s="162" t="str">
        <f t="shared" si="1"/>
        <v/>
      </c>
      <c r="O83" s="46"/>
      <c r="P83" s="39"/>
      <c r="Q83" s="36"/>
    </row>
    <row r="84" spans="1:17" ht="19.5" customHeight="1" x14ac:dyDescent="0.2">
      <c r="A84" s="160" t="str">
        <f t="shared" si="0"/>
        <v/>
      </c>
      <c r="B84" s="151" t="str">
        <f>IF(A84="","",'sample table mirror'!A44)</f>
        <v/>
      </c>
      <c r="C84" s="166"/>
      <c r="D84" s="166"/>
      <c r="E84" s="167"/>
      <c r="F84" s="169"/>
      <c r="G84" s="169"/>
      <c r="H84" s="168"/>
      <c r="I84" s="168"/>
      <c r="J84" s="168"/>
      <c r="K84" s="168"/>
      <c r="L84" s="169"/>
      <c r="M84" s="4">
        <f>'sample table mirror'!L44</f>
        <v>0</v>
      </c>
      <c r="N84" s="162" t="str">
        <f t="shared" si="1"/>
        <v/>
      </c>
      <c r="O84" s="46"/>
      <c r="P84" s="39"/>
      <c r="Q84" s="36"/>
    </row>
    <row r="85" spans="1:17" ht="19.5" customHeight="1" x14ac:dyDescent="0.2">
      <c r="A85" s="160" t="str">
        <f t="shared" si="0"/>
        <v/>
      </c>
      <c r="B85" s="151" t="str">
        <f>IF(A85="","",'sample table mirror'!A45)</f>
        <v/>
      </c>
      <c r="C85" s="166"/>
      <c r="D85" s="166"/>
      <c r="E85" s="167"/>
      <c r="F85" s="169"/>
      <c r="G85" s="169"/>
      <c r="H85" s="168"/>
      <c r="I85" s="168"/>
      <c r="J85" s="168"/>
      <c r="K85" s="168"/>
      <c r="L85" s="169"/>
      <c r="M85" s="4">
        <f>'sample table mirror'!L45</f>
        <v>0</v>
      </c>
      <c r="N85" s="162" t="str">
        <f t="shared" si="1"/>
        <v/>
      </c>
      <c r="O85" s="46"/>
      <c r="P85" s="39"/>
      <c r="Q85" s="36"/>
    </row>
    <row r="86" spans="1:17" ht="19.5" customHeight="1" x14ac:dyDescent="0.2">
      <c r="A86" s="160" t="str">
        <f t="shared" si="0"/>
        <v/>
      </c>
      <c r="B86" s="151" t="str">
        <f>IF(A86="","",'sample table mirror'!A46)</f>
        <v/>
      </c>
      <c r="C86" s="166"/>
      <c r="D86" s="166"/>
      <c r="E86" s="167"/>
      <c r="F86" s="169"/>
      <c r="G86" s="169"/>
      <c r="H86" s="168"/>
      <c r="I86" s="168"/>
      <c r="J86" s="168"/>
      <c r="K86" s="168"/>
      <c r="L86" s="169"/>
      <c r="M86" s="4">
        <f>'sample table mirror'!L46</f>
        <v>0</v>
      </c>
      <c r="N86" s="162" t="str">
        <f t="shared" si="1"/>
        <v/>
      </c>
      <c r="O86" s="46"/>
    </row>
    <row r="87" spans="1:17" ht="19.5" customHeight="1" x14ac:dyDescent="0.2">
      <c r="A87" s="160" t="str">
        <f t="shared" si="0"/>
        <v/>
      </c>
      <c r="B87" s="151" t="str">
        <f>IF(A87="","",'sample table mirror'!A47)</f>
        <v/>
      </c>
      <c r="C87" s="166"/>
      <c r="D87" s="166"/>
      <c r="E87" s="167"/>
      <c r="F87" s="169"/>
      <c r="G87" s="169"/>
      <c r="H87" s="168"/>
      <c r="I87" s="168"/>
      <c r="J87" s="168"/>
      <c r="K87" s="168"/>
      <c r="L87" s="169"/>
      <c r="M87" s="4">
        <f>'sample table mirror'!L47</f>
        <v>0</v>
      </c>
      <c r="N87" s="162" t="str">
        <f t="shared" si="1"/>
        <v/>
      </c>
      <c r="O87" s="46"/>
    </row>
    <row r="88" spans="1:17" ht="19.5" customHeight="1" x14ac:dyDescent="0.2">
      <c r="A88" s="160" t="str">
        <f t="shared" si="0"/>
        <v/>
      </c>
      <c r="B88" s="151" t="str">
        <f>IF(A88="","",'sample table mirror'!A48)</f>
        <v/>
      </c>
      <c r="C88" s="166"/>
      <c r="D88" s="166"/>
      <c r="E88" s="167"/>
      <c r="F88" s="169"/>
      <c r="G88" s="169"/>
      <c r="H88" s="168"/>
      <c r="I88" s="168"/>
      <c r="J88" s="168"/>
      <c r="K88" s="168"/>
      <c r="L88" s="169"/>
      <c r="M88" s="4">
        <f>'sample table mirror'!L48</f>
        <v>0</v>
      </c>
      <c r="N88" s="162" t="str">
        <f t="shared" si="1"/>
        <v/>
      </c>
      <c r="O88" s="46"/>
    </row>
    <row r="89" spans="1:17" ht="19.5" customHeight="1" x14ac:dyDescent="0.2">
      <c r="A89" s="160" t="str">
        <f t="shared" si="0"/>
        <v/>
      </c>
      <c r="B89" s="151" t="str">
        <f>IF(A89="","",'sample table mirror'!A49)</f>
        <v/>
      </c>
      <c r="C89" s="166"/>
      <c r="D89" s="166"/>
      <c r="E89" s="167"/>
      <c r="F89" s="169"/>
      <c r="G89" s="169"/>
      <c r="H89" s="168"/>
      <c r="I89" s="168"/>
      <c r="J89" s="168"/>
      <c r="K89" s="168"/>
      <c r="L89" s="169"/>
      <c r="M89" s="4">
        <f>'sample table mirror'!L49</f>
        <v>0</v>
      </c>
      <c r="N89" s="162" t="str">
        <f t="shared" si="1"/>
        <v/>
      </c>
    </row>
    <row r="90" spans="1:17" ht="19.5" customHeight="1" x14ac:dyDescent="0.2">
      <c r="A90" s="160" t="str">
        <f t="shared" si="0"/>
        <v/>
      </c>
      <c r="B90" s="151" t="str">
        <f>IF(A90="","",'sample table mirror'!A50)</f>
        <v/>
      </c>
      <c r="C90" s="166"/>
      <c r="D90" s="166"/>
      <c r="E90" s="167"/>
      <c r="F90" s="169"/>
      <c r="G90" s="169"/>
      <c r="H90" s="168"/>
      <c r="I90" s="168"/>
      <c r="J90" s="168"/>
      <c r="K90" s="168"/>
      <c r="L90" s="169"/>
      <c r="M90" s="4">
        <f>'sample table mirror'!L50</f>
        <v>0</v>
      </c>
      <c r="N90" s="162" t="str">
        <f t="shared" si="1"/>
        <v/>
      </c>
    </row>
    <row r="91" spans="1:17" ht="19.5" customHeight="1" x14ac:dyDescent="0.2">
      <c r="A91" s="160" t="str">
        <f t="shared" si="0"/>
        <v/>
      </c>
      <c r="B91" s="151" t="str">
        <f>IF(A91="","",'sample table mirror'!A51)</f>
        <v/>
      </c>
      <c r="C91" s="166"/>
      <c r="D91" s="166"/>
      <c r="E91" s="167"/>
      <c r="F91" s="169"/>
      <c r="G91" s="169"/>
      <c r="H91" s="168"/>
      <c r="I91" s="168"/>
      <c r="J91" s="168"/>
      <c r="K91" s="168"/>
      <c r="L91" s="169"/>
      <c r="M91" s="4">
        <f>'sample table mirror'!L51</f>
        <v>0</v>
      </c>
      <c r="N91" s="162" t="str">
        <f t="shared" si="1"/>
        <v/>
      </c>
    </row>
    <row r="92" spans="1:17" ht="19.5" customHeight="1" x14ac:dyDescent="0.2">
      <c r="A92" s="160" t="str">
        <f t="shared" si="0"/>
        <v/>
      </c>
      <c r="B92" s="151" t="str">
        <f>IF(A92="","",'sample table mirror'!A52)</f>
        <v/>
      </c>
      <c r="C92" s="166"/>
      <c r="D92" s="166"/>
      <c r="E92" s="167"/>
      <c r="F92" s="169"/>
      <c r="G92" s="169"/>
      <c r="H92" s="168"/>
      <c r="I92" s="168"/>
      <c r="J92" s="168"/>
      <c r="K92" s="168"/>
      <c r="L92" s="169"/>
      <c r="M92" s="4">
        <f>'sample table mirror'!L52</f>
        <v>0</v>
      </c>
      <c r="N92" s="162" t="str">
        <f t="shared" si="1"/>
        <v/>
      </c>
    </row>
    <row r="93" spans="1:17" ht="19.5" customHeight="1" x14ac:dyDescent="0.2">
      <c r="A93" s="160" t="str">
        <f t="shared" si="0"/>
        <v/>
      </c>
      <c r="B93" s="151" t="str">
        <f>IF(A93="","",'sample table mirror'!A53)</f>
        <v/>
      </c>
      <c r="C93" s="166"/>
      <c r="D93" s="166"/>
      <c r="E93" s="167"/>
      <c r="F93" s="169"/>
      <c r="G93" s="169"/>
      <c r="H93" s="168"/>
      <c r="I93" s="168"/>
      <c r="J93" s="168"/>
      <c r="K93" s="168"/>
      <c r="L93" s="169"/>
      <c r="M93" s="4">
        <f>'sample table mirror'!L53</f>
        <v>0</v>
      </c>
      <c r="N93" s="162" t="str">
        <f t="shared" si="1"/>
        <v/>
      </c>
    </row>
    <row r="94" spans="1:17" ht="19.5" customHeight="1" x14ac:dyDescent="0.2">
      <c r="A94" s="160" t="str">
        <f t="shared" si="0"/>
        <v/>
      </c>
      <c r="B94" s="151" t="str">
        <f>IF(A94="","",'sample table mirror'!A54)</f>
        <v/>
      </c>
      <c r="C94" s="166"/>
      <c r="D94" s="166"/>
      <c r="E94" s="167"/>
      <c r="F94" s="169"/>
      <c r="G94" s="169"/>
      <c r="H94" s="168"/>
      <c r="I94" s="168"/>
      <c r="J94" s="168"/>
      <c r="K94" s="168"/>
      <c r="L94" s="169"/>
      <c r="M94" s="4">
        <f>'sample table mirror'!L54</f>
        <v>0</v>
      </c>
      <c r="N94" s="162" t="str">
        <f t="shared" si="1"/>
        <v/>
      </c>
    </row>
    <row r="95" spans="1:17" ht="19.5" customHeight="1" x14ac:dyDescent="0.2">
      <c r="A95" s="160" t="str">
        <f t="shared" si="0"/>
        <v/>
      </c>
      <c r="B95" s="151" t="str">
        <f>IF(A95="","",'sample table mirror'!A55)</f>
        <v/>
      </c>
      <c r="C95" s="166"/>
      <c r="D95" s="166"/>
      <c r="E95" s="167"/>
      <c r="F95" s="169"/>
      <c r="G95" s="169"/>
      <c r="H95" s="168"/>
      <c r="I95" s="168"/>
      <c r="J95" s="168"/>
      <c r="K95" s="168"/>
      <c r="L95" s="169"/>
      <c r="M95" s="4">
        <f>'sample table mirror'!L55</f>
        <v>0</v>
      </c>
      <c r="N95" s="162" t="str">
        <f t="shared" si="1"/>
        <v/>
      </c>
    </row>
    <row r="96" spans="1:17" ht="19.5" customHeight="1" x14ac:dyDescent="0.2">
      <c r="A96" s="160" t="str">
        <f t="shared" si="0"/>
        <v/>
      </c>
      <c r="B96" s="151" t="str">
        <f>IF(A96="","",'sample table mirror'!A56)</f>
        <v/>
      </c>
      <c r="C96" s="166"/>
      <c r="D96" s="166"/>
      <c r="E96" s="167"/>
      <c r="F96" s="169"/>
      <c r="G96" s="169"/>
      <c r="H96" s="168"/>
      <c r="I96" s="168"/>
      <c r="J96" s="168"/>
      <c r="K96" s="168"/>
      <c r="L96" s="169"/>
      <c r="M96" s="4">
        <f>'sample table mirror'!L56</f>
        <v>0</v>
      </c>
      <c r="N96" s="162" t="str">
        <f t="shared" si="1"/>
        <v/>
      </c>
    </row>
    <row r="97" spans="1:14" ht="19.5" customHeight="1" x14ac:dyDescent="0.2">
      <c r="A97" s="160" t="str">
        <f t="shared" si="0"/>
        <v/>
      </c>
      <c r="B97" s="151" t="str">
        <f>IF(A97="","",'sample table mirror'!A57)</f>
        <v/>
      </c>
      <c r="C97" s="166"/>
      <c r="D97" s="166"/>
      <c r="E97" s="167"/>
      <c r="F97" s="169"/>
      <c r="G97" s="169"/>
      <c r="H97" s="168"/>
      <c r="I97" s="168"/>
      <c r="J97" s="168"/>
      <c r="K97" s="168"/>
      <c r="L97" s="169"/>
      <c r="M97" s="4">
        <f>'sample table mirror'!L57</f>
        <v>0</v>
      </c>
      <c r="N97" s="162" t="str">
        <f t="shared" si="1"/>
        <v/>
      </c>
    </row>
    <row r="98" spans="1:14" ht="19.5" customHeight="1" x14ac:dyDescent="0.2">
      <c r="A98" s="160" t="str">
        <f t="shared" si="0"/>
        <v/>
      </c>
      <c r="B98" s="151" t="str">
        <f>IF(A98="","",'sample table mirror'!A58)</f>
        <v/>
      </c>
      <c r="C98" s="166"/>
      <c r="D98" s="166"/>
      <c r="E98" s="167"/>
      <c r="F98" s="169"/>
      <c r="G98" s="169"/>
      <c r="H98" s="168"/>
      <c r="I98" s="168"/>
      <c r="J98" s="168"/>
      <c r="K98" s="168"/>
      <c r="L98" s="169"/>
      <c r="M98" s="4">
        <f>'sample table mirror'!L58</f>
        <v>0</v>
      </c>
      <c r="N98" s="162" t="str">
        <f t="shared" si="1"/>
        <v/>
      </c>
    </row>
    <row r="99" spans="1:14" ht="19.5" customHeight="1" x14ac:dyDescent="0.2">
      <c r="A99" s="160" t="str">
        <f t="shared" si="0"/>
        <v/>
      </c>
      <c r="B99" s="151" t="str">
        <f>IF(A99="","",'sample table mirror'!A59)</f>
        <v/>
      </c>
      <c r="C99" s="166"/>
      <c r="D99" s="166"/>
      <c r="E99" s="167"/>
      <c r="F99" s="169"/>
      <c r="G99" s="169"/>
      <c r="H99" s="168"/>
      <c r="I99" s="168"/>
      <c r="J99" s="168"/>
      <c r="K99" s="168"/>
      <c r="L99" s="169"/>
      <c r="M99" s="4">
        <f>'sample table mirror'!L59</f>
        <v>0</v>
      </c>
      <c r="N99" s="162" t="str">
        <f t="shared" si="1"/>
        <v/>
      </c>
    </row>
    <row r="100" spans="1:14" ht="19.5" customHeight="1" x14ac:dyDescent="0.2">
      <c r="A100" s="160" t="str">
        <f t="shared" si="0"/>
        <v/>
      </c>
      <c r="B100" s="151" t="str">
        <f>IF(A100="","",'sample table mirror'!A60)</f>
        <v/>
      </c>
      <c r="C100" s="166"/>
      <c r="D100" s="166"/>
      <c r="E100" s="167"/>
      <c r="F100" s="169"/>
      <c r="G100" s="169"/>
      <c r="H100" s="168"/>
      <c r="I100" s="168"/>
      <c r="J100" s="168"/>
      <c r="K100" s="168"/>
      <c r="L100" s="169"/>
      <c r="M100" s="4">
        <f>'sample table mirror'!L60</f>
        <v>0</v>
      </c>
      <c r="N100" s="162" t="str">
        <f t="shared" si="1"/>
        <v/>
      </c>
    </row>
    <row r="101" spans="1:14" ht="19.5" customHeight="1" x14ac:dyDescent="0.2">
      <c r="A101" s="160" t="str">
        <f t="shared" si="0"/>
        <v/>
      </c>
      <c r="B101" s="151" t="str">
        <f>IF(A101="","",'sample table mirror'!A61)</f>
        <v/>
      </c>
      <c r="C101" s="166"/>
      <c r="D101" s="166"/>
      <c r="E101" s="167"/>
      <c r="F101" s="169"/>
      <c r="G101" s="169"/>
      <c r="H101" s="168"/>
      <c r="I101" s="168"/>
      <c r="J101" s="168"/>
      <c r="K101" s="168"/>
      <c r="L101" s="169"/>
      <c r="M101" s="4">
        <f>'sample table mirror'!L61</f>
        <v>0</v>
      </c>
      <c r="N101" s="162" t="str">
        <f t="shared" si="1"/>
        <v/>
      </c>
    </row>
    <row r="102" spans="1:14" ht="19.5" customHeight="1" x14ac:dyDescent="0.2">
      <c r="A102" s="160" t="str">
        <f t="shared" si="0"/>
        <v/>
      </c>
      <c r="B102" s="151" t="str">
        <f>IF(A102="","",'sample table mirror'!A62)</f>
        <v/>
      </c>
      <c r="C102" s="166"/>
      <c r="D102" s="166"/>
      <c r="E102" s="167"/>
      <c r="F102" s="169"/>
      <c r="G102" s="169"/>
      <c r="H102" s="168"/>
      <c r="I102" s="168"/>
      <c r="J102" s="168"/>
      <c r="K102" s="168"/>
      <c r="L102" s="169"/>
      <c r="M102" s="4">
        <f>'sample table mirror'!L62</f>
        <v>0</v>
      </c>
      <c r="N102" s="162" t="str">
        <f t="shared" si="1"/>
        <v/>
      </c>
    </row>
    <row r="103" spans="1:14" ht="19.5" customHeight="1" x14ac:dyDescent="0.2">
      <c r="A103" s="160" t="str">
        <f t="shared" si="0"/>
        <v/>
      </c>
      <c r="B103" s="151" t="str">
        <f>IF(A103="","",'sample table mirror'!A63)</f>
        <v/>
      </c>
      <c r="C103" s="166"/>
      <c r="D103" s="166"/>
      <c r="E103" s="167"/>
      <c r="F103" s="169"/>
      <c r="G103" s="169"/>
      <c r="H103" s="168"/>
      <c r="I103" s="168"/>
      <c r="J103" s="168"/>
      <c r="K103" s="168"/>
      <c r="L103" s="169"/>
      <c r="M103" s="4">
        <f>'sample table mirror'!L63</f>
        <v>0</v>
      </c>
      <c r="N103" s="162" t="str">
        <f t="shared" si="1"/>
        <v/>
      </c>
    </row>
    <row r="104" spans="1:14" ht="19.5" customHeight="1" x14ac:dyDescent="0.2">
      <c r="A104" s="160" t="str">
        <f t="shared" si="0"/>
        <v/>
      </c>
      <c r="B104" s="151" t="str">
        <f>IF(A104="","",'sample table mirror'!A64)</f>
        <v/>
      </c>
      <c r="C104" s="166"/>
      <c r="D104" s="166"/>
      <c r="E104" s="167"/>
      <c r="F104" s="169"/>
      <c r="G104" s="169"/>
      <c r="H104" s="168"/>
      <c r="I104" s="168"/>
      <c r="J104" s="168"/>
      <c r="K104" s="168"/>
      <c r="L104" s="169"/>
      <c r="M104" s="4">
        <f>'sample table mirror'!L64</f>
        <v>0</v>
      </c>
      <c r="N104" s="162" t="str">
        <f t="shared" si="1"/>
        <v/>
      </c>
    </row>
    <row r="105" spans="1:14" ht="19.5" customHeight="1" x14ac:dyDescent="0.2">
      <c r="A105" s="160" t="str">
        <f t="shared" si="0"/>
        <v/>
      </c>
      <c r="B105" s="151" t="str">
        <f>IF(A105="","",'sample table mirror'!A65)</f>
        <v/>
      </c>
      <c r="C105" s="166"/>
      <c r="D105" s="166"/>
      <c r="E105" s="167"/>
      <c r="F105" s="169"/>
      <c r="G105" s="169"/>
      <c r="H105" s="168"/>
      <c r="I105" s="168"/>
      <c r="J105" s="168"/>
      <c r="K105" s="168"/>
      <c r="L105" s="169"/>
      <c r="M105" s="4">
        <f>'sample table mirror'!L65</f>
        <v>0</v>
      </c>
      <c r="N105" s="162" t="str">
        <f t="shared" si="1"/>
        <v/>
      </c>
    </row>
    <row r="106" spans="1:14" ht="19.5" customHeight="1" x14ac:dyDescent="0.2">
      <c r="A106" s="160" t="str">
        <f t="shared" si="0"/>
        <v/>
      </c>
      <c r="B106" s="151" t="str">
        <f>IF(A106="","",'sample table mirror'!A66)</f>
        <v/>
      </c>
      <c r="C106" s="166"/>
      <c r="D106" s="166"/>
      <c r="E106" s="167"/>
      <c r="F106" s="169"/>
      <c r="G106" s="169"/>
      <c r="H106" s="168"/>
      <c r="I106" s="168"/>
      <c r="J106" s="168"/>
      <c r="K106" s="168"/>
      <c r="L106" s="169"/>
      <c r="M106" s="4">
        <f>'sample table mirror'!L66</f>
        <v>0</v>
      </c>
      <c r="N106" s="162" t="str">
        <f t="shared" si="1"/>
        <v/>
      </c>
    </row>
    <row r="107" spans="1:14" ht="19.5" customHeight="1" x14ac:dyDescent="0.2">
      <c r="A107" s="160" t="str">
        <f t="shared" si="0"/>
        <v/>
      </c>
      <c r="B107" s="151" t="str">
        <f>IF(A107="","",'sample table mirror'!A67)</f>
        <v/>
      </c>
      <c r="C107" s="166"/>
      <c r="D107" s="166"/>
      <c r="E107" s="167"/>
      <c r="F107" s="169"/>
      <c r="G107" s="169"/>
      <c r="H107" s="168"/>
      <c r="I107" s="168"/>
      <c r="J107" s="168"/>
      <c r="K107" s="168"/>
      <c r="L107" s="169"/>
      <c r="M107" s="4">
        <f>'sample table mirror'!L67</f>
        <v>0</v>
      </c>
      <c r="N107" s="162" t="str">
        <f t="shared" si="1"/>
        <v/>
      </c>
    </row>
    <row r="108" spans="1:14" ht="19.5" customHeight="1" x14ac:dyDescent="0.2">
      <c r="A108" s="160" t="str">
        <f t="shared" ref="A108:A171" si="2">IF(ROW(A108)-42&lt;=$E$14,ROW(A108)-42,"")</f>
        <v/>
      </c>
      <c r="B108" s="151" t="str">
        <f>IF(A108="","",'sample table mirror'!A68)</f>
        <v/>
      </c>
      <c r="C108" s="166"/>
      <c r="D108" s="166"/>
      <c r="E108" s="167"/>
      <c r="F108" s="169"/>
      <c r="G108" s="169"/>
      <c r="H108" s="168"/>
      <c r="I108" s="168"/>
      <c r="J108" s="168"/>
      <c r="K108" s="168"/>
      <c r="L108" s="169"/>
      <c r="M108" s="4">
        <f>'sample table mirror'!L68</f>
        <v>0</v>
      </c>
      <c r="N108" s="162" t="str">
        <f t="shared" ref="N108:N171" si="3">IF(M108&gt;0,IF(M108&lt;10,"Sample Name can have letters, numbers, and dash (-) only. No spaces or other characters please!",IF(M108=10,"Sample Names must be unique!",IF(M108=100,"Sample count above doesn’t match sample list!"))),"")</f>
        <v/>
      </c>
    </row>
    <row r="109" spans="1:14" ht="19.5" customHeight="1" x14ac:dyDescent="0.2">
      <c r="A109" s="160" t="str">
        <f t="shared" si="2"/>
        <v/>
      </c>
      <c r="B109" s="151" t="str">
        <f>IF(A109="","",'sample table mirror'!A69)</f>
        <v/>
      </c>
      <c r="C109" s="166"/>
      <c r="D109" s="166"/>
      <c r="E109" s="167"/>
      <c r="F109" s="169"/>
      <c r="G109" s="169"/>
      <c r="H109" s="168"/>
      <c r="I109" s="168"/>
      <c r="J109" s="168"/>
      <c r="K109" s="168"/>
      <c r="L109" s="169"/>
      <c r="M109" s="4">
        <f>'sample table mirror'!L69</f>
        <v>0</v>
      </c>
      <c r="N109" s="162" t="str">
        <f t="shared" si="3"/>
        <v/>
      </c>
    </row>
    <row r="110" spans="1:14" ht="19.5" customHeight="1" x14ac:dyDescent="0.2">
      <c r="A110" s="160" t="str">
        <f t="shared" si="2"/>
        <v/>
      </c>
      <c r="B110" s="151" t="str">
        <f>IF(A110="","",'sample table mirror'!A70)</f>
        <v/>
      </c>
      <c r="C110" s="166"/>
      <c r="D110" s="166"/>
      <c r="E110" s="167"/>
      <c r="F110" s="169"/>
      <c r="G110" s="169"/>
      <c r="H110" s="168"/>
      <c r="I110" s="168"/>
      <c r="J110" s="168"/>
      <c r="K110" s="168"/>
      <c r="L110" s="169"/>
      <c r="M110" s="4">
        <f>'sample table mirror'!L70</f>
        <v>0</v>
      </c>
      <c r="N110" s="162" t="str">
        <f t="shared" si="3"/>
        <v/>
      </c>
    </row>
    <row r="111" spans="1:14" ht="19.5" customHeight="1" x14ac:dyDescent="0.2">
      <c r="A111" s="160" t="str">
        <f t="shared" si="2"/>
        <v/>
      </c>
      <c r="B111" s="151" t="str">
        <f>IF(A111="","",'sample table mirror'!A71)</f>
        <v/>
      </c>
      <c r="C111" s="166"/>
      <c r="D111" s="166"/>
      <c r="E111" s="167"/>
      <c r="F111" s="169"/>
      <c r="G111" s="169"/>
      <c r="H111" s="168"/>
      <c r="I111" s="168"/>
      <c r="J111" s="168"/>
      <c r="K111" s="168"/>
      <c r="L111" s="169"/>
      <c r="M111" s="4">
        <f>'sample table mirror'!L71</f>
        <v>0</v>
      </c>
      <c r="N111" s="162" t="str">
        <f t="shared" si="3"/>
        <v/>
      </c>
    </row>
    <row r="112" spans="1:14" ht="19.5" customHeight="1" x14ac:dyDescent="0.2">
      <c r="A112" s="160" t="str">
        <f t="shared" si="2"/>
        <v/>
      </c>
      <c r="B112" s="151" t="str">
        <f>IF(A112="","",'sample table mirror'!A72)</f>
        <v/>
      </c>
      <c r="C112" s="166"/>
      <c r="D112" s="166"/>
      <c r="E112" s="167"/>
      <c r="F112" s="169"/>
      <c r="G112" s="169"/>
      <c r="H112" s="168"/>
      <c r="I112" s="168"/>
      <c r="J112" s="168"/>
      <c r="K112" s="168"/>
      <c r="L112" s="169"/>
      <c r="M112" s="4">
        <f>'sample table mirror'!L72</f>
        <v>0</v>
      </c>
      <c r="N112" s="162" t="str">
        <f t="shared" si="3"/>
        <v/>
      </c>
    </row>
    <row r="113" spans="1:14" ht="19.5" customHeight="1" x14ac:dyDescent="0.2">
      <c r="A113" s="160" t="str">
        <f t="shared" si="2"/>
        <v/>
      </c>
      <c r="B113" s="151" t="str">
        <f>IF(A113="","",'sample table mirror'!A73)</f>
        <v/>
      </c>
      <c r="C113" s="166"/>
      <c r="D113" s="166"/>
      <c r="E113" s="167"/>
      <c r="F113" s="169"/>
      <c r="G113" s="169"/>
      <c r="H113" s="168"/>
      <c r="I113" s="168"/>
      <c r="J113" s="168"/>
      <c r="K113" s="168"/>
      <c r="L113" s="169"/>
      <c r="M113" s="4">
        <f>'sample table mirror'!L73</f>
        <v>0</v>
      </c>
      <c r="N113" s="162" t="str">
        <f t="shared" si="3"/>
        <v/>
      </c>
    </row>
    <row r="114" spans="1:14" ht="19.5" customHeight="1" x14ac:dyDescent="0.2">
      <c r="A114" s="160" t="str">
        <f t="shared" si="2"/>
        <v/>
      </c>
      <c r="B114" s="151" t="str">
        <f>IF(A114="","",'sample table mirror'!A74)</f>
        <v/>
      </c>
      <c r="C114" s="166"/>
      <c r="D114" s="166"/>
      <c r="E114" s="167"/>
      <c r="F114" s="169"/>
      <c r="G114" s="169"/>
      <c r="H114" s="168"/>
      <c r="I114" s="168"/>
      <c r="J114" s="168"/>
      <c r="K114" s="168"/>
      <c r="L114" s="169"/>
      <c r="M114" s="4">
        <f>'sample table mirror'!L74</f>
        <v>0</v>
      </c>
      <c r="N114" s="162" t="str">
        <f t="shared" si="3"/>
        <v/>
      </c>
    </row>
    <row r="115" spans="1:14" ht="19.5" customHeight="1" x14ac:dyDescent="0.2">
      <c r="A115" s="160" t="str">
        <f t="shared" si="2"/>
        <v/>
      </c>
      <c r="B115" s="151" t="str">
        <f>IF(A115="","",'sample table mirror'!A75)</f>
        <v/>
      </c>
      <c r="C115" s="166"/>
      <c r="D115" s="166"/>
      <c r="E115" s="167"/>
      <c r="F115" s="169"/>
      <c r="G115" s="169"/>
      <c r="H115" s="168"/>
      <c r="I115" s="168"/>
      <c r="J115" s="168"/>
      <c r="K115" s="168"/>
      <c r="L115" s="169"/>
      <c r="M115" s="4">
        <f>'sample table mirror'!L75</f>
        <v>0</v>
      </c>
      <c r="N115" s="162" t="str">
        <f t="shared" si="3"/>
        <v/>
      </c>
    </row>
    <row r="116" spans="1:14" ht="19.5" customHeight="1" x14ac:dyDescent="0.2">
      <c r="A116" s="160" t="str">
        <f t="shared" si="2"/>
        <v/>
      </c>
      <c r="B116" s="151" t="str">
        <f>IF(A116="","",'sample table mirror'!A76)</f>
        <v/>
      </c>
      <c r="C116" s="166"/>
      <c r="D116" s="166"/>
      <c r="E116" s="167"/>
      <c r="F116" s="169"/>
      <c r="G116" s="169"/>
      <c r="H116" s="168"/>
      <c r="I116" s="168"/>
      <c r="J116" s="168"/>
      <c r="K116" s="168"/>
      <c r="L116" s="169"/>
      <c r="M116" s="4">
        <f>'sample table mirror'!L76</f>
        <v>0</v>
      </c>
      <c r="N116" s="162" t="str">
        <f t="shared" si="3"/>
        <v/>
      </c>
    </row>
    <row r="117" spans="1:14" ht="19.5" customHeight="1" x14ac:dyDescent="0.2">
      <c r="A117" s="160" t="str">
        <f t="shared" si="2"/>
        <v/>
      </c>
      <c r="B117" s="151" t="str">
        <f>IF(A117="","",'sample table mirror'!A77)</f>
        <v/>
      </c>
      <c r="C117" s="166"/>
      <c r="D117" s="166"/>
      <c r="E117" s="167"/>
      <c r="F117" s="169"/>
      <c r="G117" s="169"/>
      <c r="H117" s="168"/>
      <c r="I117" s="168"/>
      <c r="J117" s="168"/>
      <c r="K117" s="168"/>
      <c r="L117" s="169"/>
      <c r="M117" s="4">
        <f>'sample table mirror'!L77</f>
        <v>0</v>
      </c>
      <c r="N117" s="162" t="str">
        <f t="shared" si="3"/>
        <v/>
      </c>
    </row>
    <row r="118" spans="1:14" ht="19.5" customHeight="1" x14ac:dyDescent="0.2">
      <c r="A118" s="160" t="str">
        <f t="shared" si="2"/>
        <v/>
      </c>
      <c r="B118" s="151" t="str">
        <f>IF(A118="","",'sample table mirror'!A78)</f>
        <v/>
      </c>
      <c r="C118" s="166"/>
      <c r="D118" s="166"/>
      <c r="E118" s="167"/>
      <c r="F118" s="169"/>
      <c r="G118" s="169"/>
      <c r="H118" s="168"/>
      <c r="I118" s="168"/>
      <c r="J118" s="168"/>
      <c r="K118" s="168"/>
      <c r="L118" s="169"/>
      <c r="M118" s="4">
        <f>'sample table mirror'!L78</f>
        <v>0</v>
      </c>
      <c r="N118" s="162" t="str">
        <f t="shared" si="3"/>
        <v/>
      </c>
    </row>
    <row r="119" spans="1:14" ht="19.5" customHeight="1" x14ac:dyDescent="0.2">
      <c r="A119" s="160" t="str">
        <f t="shared" si="2"/>
        <v/>
      </c>
      <c r="B119" s="151" t="str">
        <f>IF(A119="","",'sample table mirror'!A79)</f>
        <v/>
      </c>
      <c r="C119" s="166"/>
      <c r="D119" s="166"/>
      <c r="E119" s="167"/>
      <c r="F119" s="169"/>
      <c r="G119" s="169"/>
      <c r="H119" s="168"/>
      <c r="I119" s="168"/>
      <c r="J119" s="168"/>
      <c r="K119" s="168"/>
      <c r="L119" s="169"/>
      <c r="M119" s="4">
        <f>'sample table mirror'!L79</f>
        <v>0</v>
      </c>
      <c r="N119" s="162" t="str">
        <f t="shared" si="3"/>
        <v/>
      </c>
    </row>
    <row r="120" spans="1:14" ht="19.5" customHeight="1" x14ac:dyDescent="0.2">
      <c r="A120" s="160" t="str">
        <f t="shared" si="2"/>
        <v/>
      </c>
      <c r="B120" s="151" t="str">
        <f>IF(A120="","",'sample table mirror'!A80)</f>
        <v/>
      </c>
      <c r="C120" s="166"/>
      <c r="D120" s="166"/>
      <c r="E120" s="167"/>
      <c r="F120" s="169"/>
      <c r="G120" s="169"/>
      <c r="H120" s="168"/>
      <c r="I120" s="168"/>
      <c r="J120" s="168"/>
      <c r="K120" s="168"/>
      <c r="L120" s="169"/>
      <c r="M120" s="4">
        <f>'sample table mirror'!L80</f>
        <v>0</v>
      </c>
      <c r="N120" s="162" t="str">
        <f t="shared" si="3"/>
        <v/>
      </c>
    </row>
    <row r="121" spans="1:14" ht="19.5" customHeight="1" x14ac:dyDescent="0.2">
      <c r="A121" s="160" t="str">
        <f t="shared" si="2"/>
        <v/>
      </c>
      <c r="B121" s="151" t="str">
        <f>IF(A121="","",'sample table mirror'!A81)</f>
        <v/>
      </c>
      <c r="C121" s="166"/>
      <c r="D121" s="166"/>
      <c r="E121" s="167"/>
      <c r="F121" s="169"/>
      <c r="G121" s="169"/>
      <c r="H121" s="168"/>
      <c r="I121" s="168"/>
      <c r="J121" s="168"/>
      <c r="K121" s="168"/>
      <c r="L121" s="169"/>
      <c r="M121" s="4">
        <f>'sample table mirror'!L81</f>
        <v>0</v>
      </c>
      <c r="N121" s="162" t="str">
        <f t="shared" si="3"/>
        <v/>
      </c>
    </row>
    <row r="122" spans="1:14" ht="19.5" customHeight="1" x14ac:dyDescent="0.2">
      <c r="A122" s="160" t="str">
        <f t="shared" si="2"/>
        <v/>
      </c>
      <c r="B122" s="151" t="str">
        <f>IF(A122="","",'sample table mirror'!A82)</f>
        <v/>
      </c>
      <c r="C122" s="166"/>
      <c r="D122" s="166"/>
      <c r="E122" s="167"/>
      <c r="F122" s="169"/>
      <c r="G122" s="169"/>
      <c r="H122" s="168"/>
      <c r="I122" s="168"/>
      <c r="J122" s="168"/>
      <c r="K122" s="168"/>
      <c r="L122" s="169"/>
      <c r="M122" s="4">
        <f>'sample table mirror'!L82</f>
        <v>0</v>
      </c>
      <c r="N122" s="162" t="str">
        <f t="shared" si="3"/>
        <v/>
      </c>
    </row>
    <row r="123" spans="1:14" ht="19.5" customHeight="1" x14ac:dyDescent="0.2">
      <c r="A123" s="160" t="str">
        <f t="shared" si="2"/>
        <v/>
      </c>
      <c r="B123" s="151" t="str">
        <f>IF(A123="","",'sample table mirror'!A83)</f>
        <v/>
      </c>
      <c r="C123" s="166"/>
      <c r="D123" s="166"/>
      <c r="E123" s="167"/>
      <c r="F123" s="169"/>
      <c r="G123" s="169"/>
      <c r="H123" s="168"/>
      <c r="I123" s="168"/>
      <c r="J123" s="168"/>
      <c r="K123" s="168"/>
      <c r="L123" s="169"/>
      <c r="M123" s="4">
        <f>'sample table mirror'!L83</f>
        <v>0</v>
      </c>
      <c r="N123" s="162" t="str">
        <f t="shared" si="3"/>
        <v/>
      </c>
    </row>
    <row r="124" spans="1:14" ht="19.5" customHeight="1" x14ac:dyDescent="0.2">
      <c r="A124" s="160" t="str">
        <f t="shared" si="2"/>
        <v/>
      </c>
      <c r="B124" s="151" t="str">
        <f>IF(A124="","",'sample table mirror'!A84)</f>
        <v/>
      </c>
      <c r="C124" s="166"/>
      <c r="D124" s="166"/>
      <c r="E124" s="167"/>
      <c r="F124" s="169"/>
      <c r="G124" s="169"/>
      <c r="H124" s="168"/>
      <c r="I124" s="168"/>
      <c r="J124" s="168"/>
      <c r="K124" s="168"/>
      <c r="L124" s="169"/>
      <c r="M124" s="4">
        <f>'sample table mirror'!L84</f>
        <v>0</v>
      </c>
      <c r="N124" s="162" t="str">
        <f t="shared" si="3"/>
        <v/>
      </c>
    </row>
    <row r="125" spans="1:14" ht="19.5" customHeight="1" x14ac:dyDescent="0.2">
      <c r="A125" s="160" t="str">
        <f t="shared" si="2"/>
        <v/>
      </c>
      <c r="B125" s="151" t="str">
        <f>IF(A125="","",'sample table mirror'!A85)</f>
        <v/>
      </c>
      <c r="C125" s="166"/>
      <c r="D125" s="166"/>
      <c r="E125" s="167"/>
      <c r="F125" s="169"/>
      <c r="G125" s="169"/>
      <c r="H125" s="168"/>
      <c r="I125" s="168"/>
      <c r="J125" s="168"/>
      <c r="K125" s="168"/>
      <c r="L125" s="169"/>
      <c r="M125" s="4">
        <f>'sample table mirror'!L85</f>
        <v>0</v>
      </c>
      <c r="N125" s="162" t="str">
        <f t="shared" si="3"/>
        <v/>
      </c>
    </row>
    <row r="126" spans="1:14" ht="19.5" customHeight="1" x14ac:dyDescent="0.2">
      <c r="A126" s="160" t="str">
        <f t="shared" si="2"/>
        <v/>
      </c>
      <c r="B126" s="151" t="str">
        <f>IF(A126="","",'sample table mirror'!A86)</f>
        <v/>
      </c>
      <c r="C126" s="166"/>
      <c r="D126" s="166"/>
      <c r="E126" s="167"/>
      <c r="F126" s="169"/>
      <c r="G126" s="169"/>
      <c r="H126" s="168"/>
      <c r="I126" s="168"/>
      <c r="J126" s="168"/>
      <c r="K126" s="168"/>
      <c r="L126" s="169"/>
      <c r="M126" s="4">
        <f>'sample table mirror'!L86</f>
        <v>0</v>
      </c>
      <c r="N126" s="162" t="str">
        <f t="shared" si="3"/>
        <v/>
      </c>
    </row>
    <row r="127" spans="1:14" ht="19.5" customHeight="1" x14ac:dyDescent="0.2">
      <c r="A127" s="160" t="str">
        <f t="shared" si="2"/>
        <v/>
      </c>
      <c r="B127" s="151" t="str">
        <f>IF(A127="","",'sample table mirror'!A87)</f>
        <v/>
      </c>
      <c r="C127" s="166"/>
      <c r="D127" s="166"/>
      <c r="E127" s="167"/>
      <c r="F127" s="169"/>
      <c r="G127" s="169"/>
      <c r="H127" s="168"/>
      <c r="I127" s="168"/>
      <c r="J127" s="168"/>
      <c r="K127" s="168"/>
      <c r="L127" s="169"/>
      <c r="M127" s="4">
        <f>'sample table mirror'!L87</f>
        <v>0</v>
      </c>
      <c r="N127" s="162" t="str">
        <f t="shared" si="3"/>
        <v/>
      </c>
    </row>
    <row r="128" spans="1:14" ht="19.5" customHeight="1" x14ac:dyDescent="0.2">
      <c r="A128" s="160" t="str">
        <f t="shared" si="2"/>
        <v/>
      </c>
      <c r="B128" s="151" t="str">
        <f>IF(A128="","",'sample table mirror'!A88)</f>
        <v/>
      </c>
      <c r="C128" s="166"/>
      <c r="D128" s="166"/>
      <c r="E128" s="167"/>
      <c r="F128" s="169"/>
      <c r="G128" s="169"/>
      <c r="H128" s="168"/>
      <c r="I128" s="168"/>
      <c r="J128" s="168"/>
      <c r="K128" s="168"/>
      <c r="L128" s="169"/>
      <c r="M128" s="4">
        <f>'sample table mirror'!L88</f>
        <v>0</v>
      </c>
      <c r="N128" s="162" t="str">
        <f t="shared" si="3"/>
        <v/>
      </c>
    </row>
    <row r="129" spans="1:14" ht="19.5" customHeight="1" x14ac:dyDescent="0.2">
      <c r="A129" s="160" t="str">
        <f t="shared" si="2"/>
        <v/>
      </c>
      <c r="B129" s="151" t="str">
        <f>IF(A129="","",'sample table mirror'!A89)</f>
        <v/>
      </c>
      <c r="C129" s="166"/>
      <c r="D129" s="166"/>
      <c r="E129" s="167"/>
      <c r="F129" s="169"/>
      <c r="G129" s="169"/>
      <c r="H129" s="168"/>
      <c r="I129" s="168"/>
      <c r="J129" s="168"/>
      <c r="K129" s="168"/>
      <c r="L129" s="169"/>
      <c r="M129" s="4">
        <f>'sample table mirror'!L89</f>
        <v>0</v>
      </c>
      <c r="N129" s="162" t="str">
        <f t="shared" si="3"/>
        <v/>
      </c>
    </row>
    <row r="130" spans="1:14" ht="19.5" customHeight="1" x14ac:dyDescent="0.2">
      <c r="A130" s="160" t="str">
        <f t="shared" si="2"/>
        <v/>
      </c>
      <c r="B130" s="151" t="str">
        <f>IF(A130="","",'sample table mirror'!A90)</f>
        <v/>
      </c>
      <c r="C130" s="166"/>
      <c r="D130" s="166"/>
      <c r="E130" s="167"/>
      <c r="F130" s="169"/>
      <c r="G130" s="169"/>
      <c r="H130" s="168"/>
      <c r="I130" s="168"/>
      <c r="J130" s="168"/>
      <c r="K130" s="168"/>
      <c r="L130" s="169"/>
      <c r="M130" s="4">
        <f>'sample table mirror'!L90</f>
        <v>0</v>
      </c>
      <c r="N130" s="162" t="str">
        <f t="shared" si="3"/>
        <v/>
      </c>
    </row>
    <row r="131" spans="1:14" ht="19.5" customHeight="1" x14ac:dyDescent="0.2">
      <c r="A131" s="160" t="str">
        <f t="shared" si="2"/>
        <v/>
      </c>
      <c r="B131" s="151" t="str">
        <f>IF(A131="","",'sample table mirror'!A91)</f>
        <v/>
      </c>
      <c r="C131" s="166"/>
      <c r="D131" s="166"/>
      <c r="E131" s="167"/>
      <c r="F131" s="169"/>
      <c r="G131" s="169"/>
      <c r="H131" s="168"/>
      <c r="I131" s="168"/>
      <c r="J131" s="168"/>
      <c r="K131" s="168"/>
      <c r="L131" s="169"/>
      <c r="M131" s="4">
        <f>'sample table mirror'!L91</f>
        <v>0</v>
      </c>
      <c r="N131" s="162" t="str">
        <f t="shared" si="3"/>
        <v/>
      </c>
    </row>
    <row r="132" spans="1:14" ht="19.5" customHeight="1" x14ac:dyDescent="0.2">
      <c r="A132" s="160" t="str">
        <f t="shared" si="2"/>
        <v/>
      </c>
      <c r="B132" s="151" t="str">
        <f>IF(A132="","",'sample table mirror'!A92)</f>
        <v/>
      </c>
      <c r="C132" s="166"/>
      <c r="D132" s="166"/>
      <c r="E132" s="167"/>
      <c r="F132" s="169"/>
      <c r="G132" s="169"/>
      <c r="H132" s="168"/>
      <c r="I132" s="168"/>
      <c r="J132" s="168"/>
      <c r="K132" s="168"/>
      <c r="L132" s="169"/>
      <c r="M132" s="4">
        <f>'sample table mirror'!L92</f>
        <v>0</v>
      </c>
      <c r="N132" s="162" t="str">
        <f t="shared" si="3"/>
        <v/>
      </c>
    </row>
    <row r="133" spans="1:14" ht="19.5" customHeight="1" x14ac:dyDescent="0.2">
      <c r="A133" s="160" t="str">
        <f t="shared" si="2"/>
        <v/>
      </c>
      <c r="B133" s="151" t="str">
        <f>IF(A133="","",'sample table mirror'!A93)</f>
        <v/>
      </c>
      <c r="C133" s="166"/>
      <c r="D133" s="166"/>
      <c r="E133" s="167"/>
      <c r="F133" s="169"/>
      <c r="G133" s="169"/>
      <c r="H133" s="168"/>
      <c r="I133" s="168"/>
      <c r="J133" s="168"/>
      <c r="K133" s="168"/>
      <c r="L133" s="169"/>
      <c r="M133" s="4">
        <f>'sample table mirror'!L93</f>
        <v>0</v>
      </c>
      <c r="N133" s="162" t="str">
        <f t="shared" si="3"/>
        <v/>
      </c>
    </row>
    <row r="134" spans="1:14" ht="19.5" customHeight="1" x14ac:dyDescent="0.2">
      <c r="A134" s="160" t="str">
        <f t="shared" si="2"/>
        <v/>
      </c>
      <c r="B134" s="151" t="str">
        <f>IF(A134="","",'sample table mirror'!A94)</f>
        <v/>
      </c>
      <c r="C134" s="166"/>
      <c r="D134" s="166"/>
      <c r="E134" s="167"/>
      <c r="F134" s="169"/>
      <c r="G134" s="169"/>
      <c r="H134" s="168"/>
      <c r="I134" s="168"/>
      <c r="J134" s="168"/>
      <c r="K134" s="168"/>
      <c r="L134" s="169"/>
      <c r="M134" s="4">
        <f>'sample table mirror'!L94</f>
        <v>0</v>
      </c>
      <c r="N134" s="162" t="str">
        <f t="shared" si="3"/>
        <v/>
      </c>
    </row>
    <row r="135" spans="1:14" ht="19.5" customHeight="1" x14ac:dyDescent="0.2">
      <c r="A135" s="160" t="str">
        <f t="shared" si="2"/>
        <v/>
      </c>
      <c r="B135" s="151" t="str">
        <f>IF(A135="","",'sample table mirror'!A95)</f>
        <v/>
      </c>
      <c r="C135" s="166"/>
      <c r="D135" s="166"/>
      <c r="E135" s="167"/>
      <c r="F135" s="169"/>
      <c r="G135" s="169"/>
      <c r="H135" s="168"/>
      <c r="I135" s="168"/>
      <c r="J135" s="168"/>
      <c r="K135" s="168"/>
      <c r="L135" s="169"/>
      <c r="M135" s="4">
        <f>'sample table mirror'!L95</f>
        <v>0</v>
      </c>
      <c r="N135" s="162" t="str">
        <f t="shared" si="3"/>
        <v/>
      </c>
    </row>
    <row r="136" spans="1:14" ht="19.5" customHeight="1" x14ac:dyDescent="0.2">
      <c r="A136" s="160" t="str">
        <f t="shared" si="2"/>
        <v/>
      </c>
      <c r="B136" s="151" t="str">
        <f>IF(A136="","",'sample table mirror'!A96)</f>
        <v/>
      </c>
      <c r="C136" s="166"/>
      <c r="D136" s="166"/>
      <c r="E136" s="167"/>
      <c r="F136" s="169"/>
      <c r="G136" s="169"/>
      <c r="H136" s="168"/>
      <c r="I136" s="168"/>
      <c r="J136" s="168"/>
      <c r="K136" s="168"/>
      <c r="L136" s="169"/>
      <c r="M136" s="4">
        <f>'sample table mirror'!L96</f>
        <v>0</v>
      </c>
      <c r="N136" s="162" t="str">
        <f t="shared" si="3"/>
        <v/>
      </c>
    </row>
    <row r="137" spans="1:14" ht="19.5" customHeight="1" x14ac:dyDescent="0.2">
      <c r="A137" s="160" t="str">
        <f t="shared" si="2"/>
        <v/>
      </c>
      <c r="B137" s="151" t="str">
        <f>IF(A137="","",'sample table mirror'!A97)</f>
        <v/>
      </c>
      <c r="C137" s="166"/>
      <c r="D137" s="166"/>
      <c r="E137" s="167"/>
      <c r="F137" s="169"/>
      <c r="G137" s="169"/>
      <c r="H137" s="168"/>
      <c r="I137" s="168"/>
      <c r="J137" s="168"/>
      <c r="K137" s="168"/>
      <c r="L137" s="169"/>
      <c r="M137" s="4">
        <f>'sample table mirror'!L97</f>
        <v>0</v>
      </c>
      <c r="N137" s="162" t="str">
        <f t="shared" si="3"/>
        <v/>
      </c>
    </row>
    <row r="138" spans="1:14" ht="19.5" customHeight="1" x14ac:dyDescent="0.2">
      <c r="A138" s="160" t="str">
        <f t="shared" si="2"/>
        <v/>
      </c>
      <c r="B138" s="151" t="str">
        <f>IF(A138="","",'sample table mirror'!A98)</f>
        <v/>
      </c>
      <c r="C138" s="166"/>
      <c r="D138" s="166"/>
      <c r="E138" s="167"/>
      <c r="F138" s="169"/>
      <c r="G138" s="169"/>
      <c r="H138" s="168"/>
      <c r="I138" s="168"/>
      <c r="J138" s="168"/>
      <c r="K138" s="168"/>
      <c r="L138" s="169"/>
      <c r="M138" s="4">
        <f>'sample table mirror'!L98</f>
        <v>0</v>
      </c>
      <c r="N138" s="162" t="str">
        <f t="shared" si="3"/>
        <v/>
      </c>
    </row>
    <row r="139" spans="1:14" ht="19.5" customHeight="1" x14ac:dyDescent="0.2">
      <c r="A139" s="160" t="str">
        <f t="shared" si="2"/>
        <v/>
      </c>
      <c r="B139" s="151" t="str">
        <f>IF(A139="","",'sample table mirror'!A99)</f>
        <v/>
      </c>
      <c r="C139" s="166"/>
      <c r="D139" s="166"/>
      <c r="E139" s="167"/>
      <c r="F139" s="169"/>
      <c r="G139" s="169"/>
      <c r="H139" s="168"/>
      <c r="I139" s="168"/>
      <c r="J139" s="168"/>
      <c r="K139" s="168"/>
      <c r="L139" s="169"/>
      <c r="M139" s="4">
        <f>'sample table mirror'!L99</f>
        <v>0</v>
      </c>
      <c r="N139" s="162" t="str">
        <f t="shared" si="3"/>
        <v/>
      </c>
    </row>
    <row r="140" spans="1:14" ht="19.5" customHeight="1" x14ac:dyDescent="0.2">
      <c r="A140" s="160" t="str">
        <f t="shared" si="2"/>
        <v/>
      </c>
      <c r="B140" s="151" t="str">
        <f>IF(A140="","",'sample table mirror'!A100)</f>
        <v/>
      </c>
      <c r="C140" s="166"/>
      <c r="D140" s="166"/>
      <c r="E140" s="167"/>
      <c r="F140" s="169"/>
      <c r="G140" s="169"/>
      <c r="H140" s="168"/>
      <c r="I140" s="168"/>
      <c r="J140" s="168"/>
      <c r="K140" s="168"/>
      <c r="L140" s="169"/>
      <c r="M140" s="4">
        <f>'sample table mirror'!L100</f>
        <v>0</v>
      </c>
      <c r="N140" s="162" t="str">
        <f t="shared" si="3"/>
        <v/>
      </c>
    </row>
    <row r="141" spans="1:14" ht="19.5" customHeight="1" x14ac:dyDescent="0.2">
      <c r="A141" s="160" t="str">
        <f t="shared" si="2"/>
        <v/>
      </c>
      <c r="B141" s="151" t="str">
        <f>IF(A141="","",'sample table mirror'!A101)</f>
        <v/>
      </c>
      <c r="C141" s="166"/>
      <c r="D141" s="166"/>
      <c r="E141" s="167"/>
      <c r="F141" s="169"/>
      <c r="G141" s="169"/>
      <c r="H141" s="168"/>
      <c r="I141" s="168"/>
      <c r="J141" s="168"/>
      <c r="K141" s="168"/>
      <c r="L141" s="169"/>
      <c r="M141" s="4">
        <f>'sample table mirror'!L101</f>
        <v>0</v>
      </c>
      <c r="N141" s="162" t="str">
        <f t="shared" si="3"/>
        <v/>
      </c>
    </row>
    <row r="142" spans="1:14" ht="19.5" customHeight="1" x14ac:dyDescent="0.2">
      <c r="A142" s="160" t="str">
        <f t="shared" si="2"/>
        <v/>
      </c>
      <c r="B142" s="151" t="str">
        <f>IF(A142="","",'sample table mirror'!A102)</f>
        <v/>
      </c>
      <c r="C142" s="166"/>
      <c r="D142" s="166"/>
      <c r="E142" s="167"/>
      <c r="F142" s="169"/>
      <c r="G142" s="169"/>
      <c r="H142" s="168"/>
      <c r="I142" s="168"/>
      <c r="J142" s="168"/>
      <c r="K142" s="168"/>
      <c r="L142" s="169"/>
      <c r="M142" s="4">
        <f>'sample table mirror'!L102</f>
        <v>0</v>
      </c>
      <c r="N142" s="162" t="str">
        <f t="shared" si="3"/>
        <v/>
      </c>
    </row>
    <row r="143" spans="1:14" ht="19.5" customHeight="1" x14ac:dyDescent="0.2">
      <c r="A143" s="160" t="str">
        <f t="shared" si="2"/>
        <v/>
      </c>
      <c r="B143" s="151" t="str">
        <f>IF(A143="","",'sample table mirror'!A103)</f>
        <v/>
      </c>
      <c r="C143" s="166"/>
      <c r="D143" s="166"/>
      <c r="E143" s="167"/>
      <c r="F143" s="169"/>
      <c r="G143" s="169"/>
      <c r="H143" s="168"/>
      <c r="I143" s="168"/>
      <c r="J143" s="168"/>
      <c r="K143" s="168"/>
      <c r="L143" s="169"/>
      <c r="M143" s="4">
        <f>'sample table mirror'!L103</f>
        <v>0</v>
      </c>
      <c r="N143" s="162" t="str">
        <f t="shared" si="3"/>
        <v/>
      </c>
    </row>
    <row r="144" spans="1:14" ht="19.5" customHeight="1" x14ac:dyDescent="0.2">
      <c r="A144" s="160" t="str">
        <f t="shared" si="2"/>
        <v/>
      </c>
      <c r="B144" s="151" t="str">
        <f>IF(A144="","",'sample table mirror'!A104)</f>
        <v/>
      </c>
      <c r="C144" s="166"/>
      <c r="D144" s="166"/>
      <c r="E144" s="167"/>
      <c r="F144" s="169"/>
      <c r="G144" s="169"/>
      <c r="H144" s="168"/>
      <c r="I144" s="168"/>
      <c r="J144" s="168"/>
      <c r="K144" s="168"/>
      <c r="L144" s="169"/>
      <c r="M144" s="4">
        <f>'sample table mirror'!L104</f>
        <v>0</v>
      </c>
      <c r="N144" s="162" t="str">
        <f t="shared" si="3"/>
        <v/>
      </c>
    </row>
    <row r="145" spans="1:14" ht="19.5" customHeight="1" x14ac:dyDescent="0.2">
      <c r="A145" s="160" t="str">
        <f t="shared" si="2"/>
        <v/>
      </c>
      <c r="B145" s="151" t="str">
        <f>IF(A145="","",'sample table mirror'!A105)</f>
        <v/>
      </c>
      <c r="C145" s="166"/>
      <c r="D145" s="166"/>
      <c r="E145" s="167"/>
      <c r="F145" s="169"/>
      <c r="G145" s="169"/>
      <c r="H145" s="168"/>
      <c r="I145" s="168"/>
      <c r="J145" s="168"/>
      <c r="K145" s="168"/>
      <c r="L145" s="169"/>
      <c r="M145" s="4">
        <f>'sample table mirror'!L105</f>
        <v>0</v>
      </c>
      <c r="N145" s="162" t="str">
        <f t="shared" si="3"/>
        <v/>
      </c>
    </row>
    <row r="146" spans="1:14" ht="19.5" customHeight="1" x14ac:dyDescent="0.2">
      <c r="A146" s="160" t="str">
        <f t="shared" si="2"/>
        <v/>
      </c>
      <c r="B146" s="151" t="str">
        <f>IF(A146="","",'sample table mirror'!A106)</f>
        <v/>
      </c>
      <c r="C146" s="166"/>
      <c r="D146" s="166"/>
      <c r="E146" s="167"/>
      <c r="F146" s="169"/>
      <c r="G146" s="169"/>
      <c r="H146" s="168"/>
      <c r="I146" s="168"/>
      <c r="J146" s="168"/>
      <c r="K146" s="168"/>
      <c r="L146" s="169"/>
      <c r="M146" s="4">
        <f>'sample table mirror'!L106</f>
        <v>0</v>
      </c>
      <c r="N146" s="162" t="str">
        <f t="shared" si="3"/>
        <v/>
      </c>
    </row>
    <row r="147" spans="1:14" ht="19.5" customHeight="1" x14ac:dyDescent="0.2">
      <c r="A147" s="160" t="str">
        <f t="shared" si="2"/>
        <v/>
      </c>
      <c r="B147" s="151" t="str">
        <f>IF(A147="","",'sample table mirror'!A107)</f>
        <v/>
      </c>
      <c r="C147" s="166"/>
      <c r="D147" s="166"/>
      <c r="E147" s="167"/>
      <c r="F147" s="169"/>
      <c r="G147" s="169"/>
      <c r="H147" s="168"/>
      <c r="I147" s="168"/>
      <c r="J147" s="168"/>
      <c r="K147" s="168"/>
      <c r="L147" s="169"/>
      <c r="M147" s="4">
        <f>'sample table mirror'!L107</f>
        <v>0</v>
      </c>
      <c r="N147" s="162" t="str">
        <f t="shared" si="3"/>
        <v/>
      </c>
    </row>
    <row r="148" spans="1:14" ht="19.5" customHeight="1" x14ac:dyDescent="0.2">
      <c r="A148" s="160" t="str">
        <f t="shared" si="2"/>
        <v/>
      </c>
      <c r="B148" s="151" t="str">
        <f>IF(A148="","",'sample table mirror'!A108)</f>
        <v/>
      </c>
      <c r="C148" s="166"/>
      <c r="D148" s="166"/>
      <c r="E148" s="167"/>
      <c r="F148" s="169"/>
      <c r="G148" s="169"/>
      <c r="H148" s="168"/>
      <c r="I148" s="168"/>
      <c r="J148" s="168"/>
      <c r="K148" s="168"/>
      <c r="L148" s="169"/>
      <c r="M148" s="4">
        <f>'sample table mirror'!L108</f>
        <v>0</v>
      </c>
      <c r="N148" s="162" t="str">
        <f t="shared" si="3"/>
        <v/>
      </c>
    </row>
    <row r="149" spans="1:14" ht="19.5" customHeight="1" x14ac:dyDescent="0.2">
      <c r="A149" s="160" t="str">
        <f t="shared" si="2"/>
        <v/>
      </c>
      <c r="B149" s="151" t="str">
        <f>IF(A149="","",'sample table mirror'!A109)</f>
        <v/>
      </c>
      <c r="C149" s="166"/>
      <c r="D149" s="166"/>
      <c r="E149" s="167"/>
      <c r="F149" s="169"/>
      <c r="G149" s="169"/>
      <c r="H149" s="168"/>
      <c r="I149" s="168"/>
      <c r="J149" s="168"/>
      <c r="K149" s="168"/>
      <c r="L149" s="169"/>
      <c r="M149" s="4">
        <f>'sample table mirror'!L109</f>
        <v>0</v>
      </c>
      <c r="N149" s="162" t="str">
        <f t="shared" si="3"/>
        <v/>
      </c>
    </row>
    <row r="150" spans="1:14" ht="19.5" customHeight="1" x14ac:dyDescent="0.2">
      <c r="A150" s="160" t="str">
        <f t="shared" si="2"/>
        <v/>
      </c>
      <c r="B150" s="151" t="str">
        <f>IF(A150="","",'sample table mirror'!A110)</f>
        <v/>
      </c>
      <c r="C150" s="166"/>
      <c r="D150" s="166"/>
      <c r="E150" s="167"/>
      <c r="F150" s="169"/>
      <c r="G150" s="169"/>
      <c r="H150" s="168"/>
      <c r="I150" s="168"/>
      <c r="J150" s="168"/>
      <c r="K150" s="168"/>
      <c r="L150" s="169"/>
      <c r="M150" s="4">
        <f>'sample table mirror'!L110</f>
        <v>0</v>
      </c>
      <c r="N150" s="162" t="str">
        <f t="shared" si="3"/>
        <v/>
      </c>
    </row>
    <row r="151" spans="1:14" ht="19.5" customHeight="1" x14ac:dyDescent="0.2">
      <c r="A151" s="160" t="str">
        <f t="shared" si="2"/>
        <v/>
      </c>
      <c r="B151" s="151" t="str">
        <f>IF(A151="","",'sample table mirror'!A111)</f>
        <v/>
      </c>
      <c r="C151" s="166"/>
      <c r="D151" s="166"/>
      <c r="E151" s="167"/>
      <c r="F151" s="169"/>
      <c r="G151" s="169"/>
      <c r="H151" s="168"/>
      <c r="I151" s="168"/>
      <c r="J151" s="168"/>
      <c r="K151" s="168"/>
      <c r="L151" s="169"/>
      <c r="M151" s="4">
        <f>'sample table mirror'!L111</f>
        <v>0</v>
      </c>
      <c r="N151" s="162" t="str">
        <f t="shared" si="3"/>
        <v/>
      </c>
    </row>
    <row r="152" spans="1:14" ht="19.5" customHeight="1" x14ac:dyDescent="0.2">
      <c r="A152" s="160" t="str">
        <f t="shared" si="2"/>
        <v/>
      </c>
      <c r="B152" s="151" t="str">
        <f>IF(A152="","",'sample table mirror'!A112)</f>
        <v/>
      </c>
      <c r="C152" s="166"/>
      <c r="D152" s="166"/>
      <c r="E152" s="167"/>
      <c r="F152" s="169"/>
      <c r="G152" s="169"/>
      <c r="H152" s="168"/>
      <c r="I152" s="168"/>
      <c r="J152" s="168"/>
      <c r="K152" s="168"/>
      <c r="L152" s="169"/>
      <c r="M152" s="4">
        <f>'sample table mirror'!L112</f>
        <v>0</v>
      </c>
      <c r="N152" s="162" t="str">
        <f t="shared" si="3"/>
        <v/>
      </c>
    </row>
    <row r="153" spans="1:14" ht="19.5" customHeight="1" x14ac:dyDescent="0.2">
      <c r="A153" s="160" t="str">
        <f t="shared" si="2"/>
        <v/>
      </c>
      <c r="B153" s="151" t="str">
        <f>IF(A153="","",'sample table mirror'!A113)</f>
        <v/>
      </c>
      <c r="C153" s="166"/>
      <c r="D153" s="166"/>
      <c r="E153" s="167"/>
      <c r="F153" s="169"/>
      <c r="G153" s="169"/>
      <c r="H153" s="168"/>
      <c r="I153" s="168"/>
      <c r="J153" s="168"/>
      <c r="K153" s="168"/>
      <c r="L153" s="169"/>
      <c r="M153" s="4">
        <f>'sample table mirror'!L113</f>
        <v>0</v>
      </c>
      <c r="N153" s="162" t="str">
        <f t="shared" si="3"/>
        <v/>
      </c>
    </row>
    <row r="154" spans="1:14" ht="19.5" customHeight="1" x14ac:dyDescent="0.2">
      <c r="A154" s="160" t="str">
        <f t="shared" si="2"/>
        <v/>
      </c>
      <c r="B154" s="151" t="str">
        <f>IF(A154="","",'sample table mirror'!A114)</f>
        <v/>
      </c>
      <c r="C154" s="166"/>
      <c r="D154" s="166"/>
      <c r="E154" s="167"/>
      <c r="F154" s="169"/>
      <c r="G154" s="169"/>
      <c r="H154" s="168"/>
      <c r="I154" s="168"/>
      <c r="J154" s="168"/>
      <c r="K154" s="168"/>
      <c r="L154" s="169"/>
      <c r="M154" s="4">
        <f>'sample table mirror'!L114</f>
        <v>0</v>
      </c>
      <c r="N154" s="162" t="str">
        <f t="shared" si="3"/>
        <v/>
      </c>
    </row>
    <row r="155" spans="1:14" ht="19.5" customHeight="1" x14ac:dyDescent="0.2">
      <c r="A155" s="160" t="str">
        <f t="shared" si="2"/>
        <v/>
      </c>
      <c r="B155" s="151" t="str">
        <f>IF(A155="","",'sample table mirror'!A115)</f>
        <v/>
      </c>
      <c r="C155" s="166"/>
      <c r="D155" s="166"/>
      <c r="E155" s="167"/>
      <c r="F155" s="169"/>
      <c r="G155" s="169"/>
      <c r="H155" s="168"/>
      <c r="I155" s="168"/>
      <c r="J155" s="168"/>
      <c r="K155" s="168"/>
      <c r="L155" s="169"/>
      <c r="M155" s="4">
        <f>'sample table mirror'!L115</f>
        <v>0</v>
      </c>
      <c r="N155" s="162" t="str">
        <f t="shared" si="3"/>
        <v/>
      </c>
    </row>
    <row r="156" spans="1:14" ht="19.5" customHeight="1" x14ac:dyDescent="0.2">
      <c r="A156" s="160" t="str">
        <f t="shared" si="2"/>
        <v/>
      </c>
      <c r="B156" s="151" t="str">
        <f>IF(A156="","",'sample table mirror'!A116)</f>
        <v/>
      </c>
      <c r="C156" s="166"/>
      <c r="D156" s="166"/>
      <c r="E156" s="167"/>
      <c r="F156" s="169"/>
      <c r="G156" s="169"/>
      <c r="H156" s="168"/>
      <c r="I156" s="168"/>
      <c r="J156" s="168"/>
      <c r="K156" s="168"/>
      <c r="L156" s="169"/>
      <c r="M156" s="4">
        <f>'sample table mirror'!L116</f>
        <v>0</v>
      </c>
      <c r="N156" s="162" t="str">
        <f t="shared" si="3"/>
        <v/>
      </c>
    </row>
    <row r="157" spans="1:14" ht="19.5" customHeight="1" x14ac:dyDescent="0.2">
      <c r="A157" s="160" t="str">
        <f t="shared" si="2"/>
        <v/>
      </c>
      <c r="B157" s="151" t="str">
        <f>IF(A157="","",'sample table mirror'!A117)</f>
        <v/>
      </c>
      <c r="C157" s="166"/>
      <c r="D157" s="166"/>
      <c r="E157" s="167"/>
      <c r="F157" s="169"/>
      <c r="G157" s="169"/>
      <c r="H157" s="168"/>
      <c r="I157" s="168"/>
      <c r="J157" s="168"/>
      <c r="K157" s="168"/>
      <c r="L157" s="169"/>
      <c r="M157" s="4">
        <f>'sample table mirror'!L117</f>
        <v>0</v>
      </c>
      <c r="N157" s="162" t="str">
        <f t="shared" si="3"/>
        <v/>
      </c>
    </row>
    <row r="158" spans="1:14" ht="19.5" customHeight="1" x14ac:dyDescent="0.2">
      <c r="A158" s="160" t="str">
        <f t="shared" si="2"/>
        <v/>
      </c>
      <c r="B158" s="151" t="str">
        <f>IF(A158="","",'sample table mirror'!A118)</f>
        <v/>
      </c>
      <c r="C158" s="166"/>
      <c r="D158" s="166"/>
      <c r="E158" s="167"/>
      <c r="F158" s="169"/>
      <c r="G158" s="169"/>
      <c r="H158" s="168"/>
      <c r="I158" s="168"/>
      <c r="J158" s="168"/>
      <c r="K158" s="168"/>
      <c r="L158" s="169"/>
      <c r="M158" s="4">
        <f>'sample table mirror'!L118</f>
        <v>0</v>
      </c>
      <c r="N158" s="162" t="str">
        <f t="shared" si="3"/>
        <v/>
      </c>
    </row>
    <row r="159" spans="1:14" ht="19.5" customHeight="1" x14ac:dyDescent="0.2">
      <c r="A159" s="160" t="str">
        <f t="shared" si="2"/>
        <v/>
      </c>
      <c r="B159" s="151" t="str">
        <f>IF(A159="","",'sample table mirror'!A119)</f>
        <v/>
      </c>
      <c r="C159" s="166"/>
      <c r="D159" s="166"/>
      <c r="E159" s="167"/>
      <c r="F159" s="169"/>
      <c r="G159" s="169"/>
      <c r="H159" s="168"/>
      <c r="I159" s="168"/>
      <c r="J159" s="168"/>
      <c r="K159" s="168"/>
      <c r="L159" s="169"/>
      <c r="M159" s="4">
        <f>'sample table mirror'!L119</f>
        <v>0</v>
      </c>
      <c r="N159" s="162" t="str">
        <f t="shared" si="3"/>
        <v/>
      </c>
    </row>
    <row r="160" spans="1:14" ht="19.5" customHeight="1" x14ac:dyDescent="0.2">
      <c r="A160" s="160" t="str">
        <f t="shared" si="2"/>
        <v/>
      </c>
      <c r="B160" s="151" t="str">
        <f>IF(A160="","",'sample table mirror'!A120)</f>
        <v/>
      </c>
      <c r="C160" s="166"/>
      <c r="D160" s="166"/>
      <c r="E160" s="167"/>
      <c r="F160" s="169"/>
      <c r="G160" s="169"/>
      <c r="H160" s="168"/>
      <c r="I160" s="168"/>
      <c r="J160" s="168"/>
      <c r="K160" s="168"/>
      <c r="L160" s="169"/>
      <c r="M160" s="4">
        <f>'sample table mirror'!L120</f>
        <v>0</v>
      </c>
      <c r="N160" s="162" t="str">
        <f t="shared" si="3"/>
        <v/>
      </c>
    </row>
    <row r="161" spans="1:14" ht="19.5" customHeight="1" x14ac:dyDescent="0.2">
      <c r="A161" s="160" t="str">
        <f t="shared" si="2"/>
        <v/>
      </c>
      <c r="B161" s="151" t="str">
        <f>IF(A161="","",'sample table mirror'!A121)</f>
        <v/>
      </c>
      <c r="C161" s="166"/>
      <c r="D161" s="166"/>
      <c r="E161" s="167"/>
      <c r="F161" s="169"/>
      <c r="G161" s="169"/>
      <c r="H161" s="168"/>
      <c r="I161" s="168"/>
      <c r="J161" s="168"/>
      <c r="K161" s="168"/>
      <c r="L161" s="169"/>
      <c r="M161" s="4">
        <f>'sample table mirror'!L121</f>
        <v>0</v>
      </c>
      <c r="N161" s="162" t="str">
        <f t="shared" si="3"/>
        <v/>
      </c>
    </row>
    <row r="162" spans="1:14" ht="19.5" customHeight="1" x14ac:dyDescent="0.2">
      <c r="A162" s="160" t="str">
        <f t="shared" si="2"/>
        <v/>
      </c>
      <c r="B162" s="151" t="str">
        <f>IF(A162="","",'sample table mirror'!A122)</f>
        <v/>
      </c>
      <c r="C162" s="166"/>
      <c r="D162" s="166"/>
      <c r="E162" s="167"/>
      <c r="F162" s="169"/>
      <c r="G162" s="169"/>
      <c r="H162" s="168"/>
      <c r="I162" s="168"/>
      <c r="J162" s="168"/>
      <c r="K162" s="168"/>
      <c r="L162" s="169"/>
      <c r="M162" s="4">
        <f>'sample table mirror'!L122</f>
        <v>0</v>
      </c>
      <c r="N162" s="162" t="str">
        <f t="shared" si="3"/>
        <v/>
      </c>
    </row>
    <row r="163" spans="1:14" ht="19.5" customHeight="1" x14ac:dyDescent="0.2">
      <c r="A163" s="160" t="str">
        <f t="shared" si="2"/>
        <v/>
      </c>
      <c r="B163" s="151" t="str">
        <f>IF(A163="","",'sample table mirror'!A123)</f>
        <v/>
      </c>
      <c r="C163" s="166"/>
      <c r="D163" s="166"/>
      <c r="E163" s="167"/>
      <c r="F163" s="169"/>
      <c r="G163" s="169"/>
      <c r="H163" s="168"/>
      <c r="I163" s="168"/>
      <c r="J163" s="168"/>
      <c r="K163" s="168"/>
      <c r="L163" s="169"/>
      <c r="M163" s="4">
        <f>'sample table mirror'!L123</f>
        <v>0</v>
      </c>
      <c r="N163" s="162" t="str">
        <f t="shared" si="3"/>
        <v/>
      </c>
    </row>
    <row r="164" spans="1:14" ht="19.5" customHeight="1" x14ac:dyDescent="0.2">
      <c r="A164" s="160" t="str">
        <f t="shared" si="2"/>
        <v/>
      </c>
      <c r="B164" s="151" t="str">
        <f>IF(A164="","",'sample table mirror'!A124)</f>
        <v/>
      </c>
      <c r="C164" s="166"/>
      <c r="D164" s="166"/>
      <c r="E164" s="167"/>
      <c r="F164" s="169"/>
      <c r="G164" s="169"/>
      <c r="H164" s="168"/>
      <c r="I164" s="168"/>
      <c r="J164" s="168"/>
      <c r="K164" s="168"/>
      <c r="L164" s="169"/>
      <c r="M164" s="4">
        <f>'sample table mirror'!L124</f>
        <v>0</v>
      </c>
      <c r="N164" s="162" t="str">
        <f t="shared" si="3"/>
        <v/>
      </c>
    </row>
    <row r="165" spans="1:14" ht="19.5" customHeight="1" x14ac:dyDescent="0.2">
      <c r="A165" s="160" t="str">
        <f t="shared" si="2"/>
        <v/>
      </c>
      <c r="B165" s="151" t="str">
        <f>IF(A165="","",'sample table mirror'!A125)</f>
        <v/>
      </c>
      <c r="C165" s="166"/>
      <c r="D165" s="166"/>
      <c r="E165" s="167"/>
      <c r="F165" s="169"/>
      <c r="G165" s="169"/>
      <c r="H165" s="168"/>
      <c r="I165" s="168"/>
      <c r="J165" s="168"/>
      <c r="K165" s="168"/>
      <c r="L165" s="169"/>
      <c r="M165" s="4">
        <f>'sample table mirror'!L125</f>
        <v>0</v>
      </c>
      <c r="N165" s="162" t="str">
        <f t="shared" si="3"/>
        <v/>
      </c>
    </row>
    <row r="166" spans="1:14" ht="19.5" customHeight="1" x14ac:dyDescent="0.2">
      <c r="A166" s="160" t="str">
        <f t="shared" si="2"/>
        <v/>
      </c>
      <c r="B166" s="151" t="str">
        <f>IF(A166="","",'sample table mirror'!A126)</f>
        <v/>
      </c>
      <c r="C166" s="166"/>
      <c r="D166" s="166"/>
      <c r="E166" s="167"/>
      <c r="F166" s="169"/>
      <c r="G166" s="169"/>
      <c r="H166" s="168"/>
      <c r="I166" s="168"/>
      <c r="J166" s="168"/>
      <c r="K166" s="168"/>
      <c r="L166" s="169"/>
      <c r="M166" s="4">
        <f>'sample table mirror'!L126</f>
        <v>0</v>
      </c>
      <c r="N166" s="162" t="str">
        <f t="shared" si="3"/>
        <v/>
      </c>
    </row>
    <row r="167" spans="1:14" ht="19.5" customHeight="1" x14ac:dyDescent="0.2">
      <c r="A167" s="160" t="str">
        <f t="shared" si="2"/>
        <v/>
      </c>
      <c r="B167" s="151" t="str">
        <f>IF(A167="","",'sample table mirror'!A127)</f>
        <v/>
      </c>
      <c r="C167" s="166"/>
      <c r="D167" s="166"/>
      <c r="E167" s="167"/>
      <c r="F167" s="169"/>
      <c r="G167" s="169"/>
      <c r="H167" s="168"/>
      <c r="I167" s="168"/>
      <c r="J167" s="168"/>
      <c r="K167" s="168"/>
      <c r="L167" s="169"/>
      <c r="M167" s="4">
        <f>'sample table mirror'!L127</f>
        <v>0</v>
      </c>
      <c r="N167" s="162" t="str">
        <f t="shared" si="3"/>
        <v/>
      </c>
    </row>
    <row r="168" spans="1:14" ht="19.5" customHeight="1" x14ac:dyDescent="0.2">
      <c r="A168" s="160" t="str">
        <f t="shared" si="2"/>
        <v/>
      </c>
      <c r="B168" s="151" t="str">
        <f>IF(A168="","",'sample table mirror'!A128)</f>
        <v/>
      </c>
      <c r="C168" s="166"/>
      <c r="D168" s="166"/>
      <c r="E168" s="167"/>
      <c r="F168" s="169"/>
      <c r="G168" s="169"/>
      <c r="H168" s="168"/>
      <c r="I168" s="168"/>
      <c r="J168" s="168"/>
      <c r="K168" s="168"/>
      <c r="L168" s="169"/>
      <c r="M168" s="4">
        <f>'sample table mirror'!L128</f>
        <v>0</v>
      </c>
      <c r="N168" s="162" t="str">
        <f t="shared" si="3"/>
        <v/>
      </c>
    </row>
    <row r="169" spans="1:14" ht="19.5" customHeight="1" x14ac:dyDescent="0.2">
      <c r="A169" s="160" t="str">
        <f t="shared" si="2"/>
        <v/>
      </c>
      <c r="B169" s="151" t="str">
        <f>IF(A169="","",'sample table mirror'!A129)</f>
        <v/>
      </c>
      <c r="C169" s="166"/>
      <c r="D169" s="166"/>
      <c r="E169" s="167"/>
      <c r="F169" s="169"/>
      <c r="G169" s="169"/>
      <c r="H169" s="168"/>
      <c r="I169" s="168"/>
      <c r="J169" s="168"/>
      <c r="K169" s="168"/>
      <c r="L169" s="169"/>
      <c r="M169" s="4">
        <f>'sample table mirror'!L129</f>
        <v>0</v>
      </c>
      <c r="N169" s="162" t="str">
        <f t="shared" si="3"/>
        <v/>
      </c>
    </row>
    <row r="170" spans="1:14" ht="19.5" customHeight="1" x14ac:dyDescent="0.2">
      <c r="A170" s="160" t="str">
        <f t="shared" si="2"/>
        <v/>
      </c>
      <c r="B170" s="151" t="str">
        <f>IF(A170="","",'sample table mirror'!A130)</f>
        <v/>
      </c>
      <c r="C170" s="166"/>
      <c r="D170" s="166"/>
      <c r="E170" s="167"/>
      <c r="F170" s="169"/>
      <c r="G170" s="169"/>
      <c r="H170" s="168"/>
      <c r="I170" s="168"/>
      <c r="J170" s="168"/>
      <c r="K170" s="168"/>
      <c r="L170" s="169"/>
      <c r="M170" s="4">
        <f>'sample table mirror'!L130</f>
        <v>0</v>
      </c>
      <c r="N170" s="162" t="str">
        <f t="shared" si="3"/>
        <v/>
      </c>
    </row>
    <row r="171" spans="1:14" ht="19.5" customHeight="1" x14ac:dyDescent="0.2">
      <c r="A171" s="160" t="str">
        <f t="shared" si="2"/>
        <v/>
      </c>
      <c r="B171" s="151" t="str">
        <f>IF(A171="","",'sample table mirror'!A131)</f>
        <v/>
      </c>
      <c r="C171" s="166"/>
      <c r="D171" s="166"/>
      <c r="E171" s="167"/>
      <c r="F171" s="169"/>
      <c r="G171" s="169"/>
      <c r="H171" s="168"/>
      <c r="I171" s="168"/>
      <c r="J171" s="168"/>
      <c r="K171" s="168"/>
      <c r="L171" s="169"/>
      <c r="M171" s="4">
        <f>'sample table mirror'!L131</f>
        <v>0</v>
      </c>
      <c r="N171" s="162" t="str">
        <f t="shared" si="3"/>
        <v/>
      </c>
    </row>
    <row r="172" spans="1:14" ht="19.5" customHeight="1" x14ac:dyDescent="0.2">
      <c r="A172" s="160" t="str">
        <f t="shared" ref="A172:A192" si="4">IF(ROW(A172)-42&lt;=$E$14,ROW(A172)-42,"")</f>
        <v/>
      </c>
      <c r="B172" s="151" t="str">
        <f>IF(A172="","",'sample table mirror'!A132)</f>
        <v/>
      </c>
      <c r="C172" s="166"/>
      <c r="D172" s="166"/>
      <c r="E172" s="167"/>
      <c r="F172" s="169"/>
      <c r="G172" s="169"/>
      <c r="H172" s="168"/>
      <c r="I172" s="168"/>
      <c r="J172" s="168"/>
      <c r="K172" s="168"/>
      <c r="L172" s="169"/>
      <c r="M172" s="4">
        <f>'sample table mirror'!L132</f>
        <v>0</v>
      </c>
      <c r="N172" s="162" t="str">
        <f t="shared" ref="N172:N192" si="5">IF(M172&gt;0,IF(M172&lt;10,"Sample Name can have letters, numbers, and dash (-) only. No spaces or other characters please!",IF(M172=10,"Sample Names must be unique!",IF(M172=100,"Sample count above doesn’t match sample list!"))),"")</f>
        <v/>
      </c>
    </row>
    <row r="173" spans="1:14" ht="19.5" customHeight="1" x14ac:dyDescent="0.2">
      <c r="A173" s="160" t="str">
        <f t="shared" si="4"/>
        <v/>
      </c>
      <c r="B173" s="151" t="str">
        <f>IF(A173="","",'sample table mirror'!A133)</f>
        <v/>
      </c>
      <c r="C173" s="166"/>
      <c r="D173" s="166"/>
      <c r="E173" s="167"/>
      <c r="F173" s="169"/>
      <c r="G173" s="169"/>
      <c r="H173" s="168"/>
      <c r="I173" s="168"/>
      <c r="J173" s="168"/>
      <c r="K173" s="168"/>
      <c r="L173" s="169"/>
      <c r="M173" s="4">
        <f>'sample table mirror'!L133</f>
        <v>0</v>
      </c>
      <c r="N173" s="162" t="str">
        <f t="shared" si="5"/>
        <v/>
      </c>
    </row>
    <row r="174" spans="1:14" ht="19.5" customHeight="1" x14ac:dyDescent="0.2">
      <c r="A174" s="160" t="str">
        <f t="shared" si="4"/>
        <v/>
      </c>
      <c r="B174" s="151" t="str">
        <f>IF(A174="","",'sample table mirror'!A134)</f>
        <v/>
      </c>
      <c r="C174" s="166"/>
      <c r="D174" s="166"/>
      <c r="E174" s="167"/>
      <c r="F174" s="169"/>
      <c r="G174" s="169"/>
      <c r="H174" s="168"/>
      <c r="I174" s="168"/>
      <c r="J174" s="168"/>
      <c r="K174" s="168"/>
      <c r="L174" s="169"/>
      <c r="M174" s="4">
        <f>'sample table mirror'!L134</f>
        <v>0</v>
      </c>
      <c r="N174" s="162" t="str">
        <f t="shared" si="5"/>
        <v/>
      </c>
    </row>
    <row r="175" spans="1:14" ht="19.5" customHeight="1" x14ac:dyDescent="0.2">
      <c r="A175" s="160" t="str">
        <f t="shared" si="4"/>
        <v/>
      </c>
      <c r="B175" s="151" t="str">
        <f>IF(A175="","",'sample table mirror'!A135)</f>
        <v/>
      </c>
      <c r="C175" s="166"/>
      <c r="D175" s="166"/>
      <c r="E175" s="167"/>
      <c r="F175" s="169"/>
      <c r="G175" s="169"/>
      <c r="H175" s="168"/>
      <c r="I175" s="168"/>
      <c r="J175" s="168"/>
      <c r="K175" s="168"/>
      <c r="L175" s="169"/>
      <c r="M175" s="4">
        <f>'sample table mirror'!L135</f>
        <v>0</v>
      </c>
      <c r="N175" s="162" t="str">
        <f t="shared" si="5"/>
        <v/>
      </c>
    </row>
    <row r="176" spans="1:14" ht="19.5" customHeight="1" x14ac:dyDescent="0.2">
      <c r="A176" s="160" t="str">
        <f t="shared" si="4"/>
        <v/>
      </c>
      <c r="B176" s="151" t="str">
        <f>IF(A176="","",'sample table mirror'!A136)</f>
        <v/>
      </c>
      <c r="C176" s="166"/>
      <c r="D176" s="166"/>
      <c r="E176" s="167"/>
      <c r="F176" s="169"/>
      <c r="G176" s="169"/>
      <c r="H176" s="168"/>
      <c r="I176" s="168"/>
      <c r="J176" s="168"/>
      <c r="K176" s="168"/>
      <c r="L176" s="169"/>
      <c r="M176" s="4">
        <f>'sample table mirror'!L136</f>
        <v>0</v>
      </c>
      <c r="N176" s="162" t="str">
        <f t="shared" si="5"/>
        <v/>
      </c>
    </row>
    <row r="177" spans="1:14" ht="19.5" customHeight="1" x14ac:dyDescent="0.2">
      <c r="A177" s="160" t="str">
        <f t="shared" si="4"/>
        <v/>
      </c>
      <c r="B177" s="151" t="str">
        <f>IF(A177="","",'sample table mirror'!A137)</f>
        <v/>
      </c>
      <c r="C177" s="166"/>
      <c r="D177" s="166"/>
      <c r="E177" s="167"/>
      <c r="F177" s="169"/>
      <c r="G177" s="169"/>
      <c r="H177" s="168"/>
      <c r="I177" s="168"/>
      <c r="J177" s="168"/>
      <c r="K177" s="168"/>
      <c r="L177" s="169"/>
      <c r="M177" s="4">
        <f>'sample table mirror'!L137</f>
        <v>0</v>
      </c>
      <c r="N177" s="162" t="str">
        <f t="shared" si="5"/>
        <v/>
      </c>
    </row>
    <row r="178" spans="1:14" ht="19.5" customHeight="1" x14ac:dyDescent="0.2">
      <c r="A178" s="160" t="str">
        <f t="shared" si="4"/>
        <v/>
      </c>
      <c r="B178" s="151" t="str">
        <f>IF(A178="","",'sample table mirror'!A138)</f>
        <v/>
      </c>
      <c r="C178" s="166"/>
      <c r="D178" s="166"/>
      <c r="E178" s="167"/>
      <c r="F178" s="169"/>
      <c r="G178" s="169"/>
      <c r="H178" s="168"/>
      <c r="I178" s="168"/>
      <c r="J178" s="168"/>
      <c r="K178" s="168"/>
      <c r="L178" s="169"/>
      <c r="M178" s="4">
        <f>'sample table mirror'!L138</f>
        <v>0</v>
      </c>
      <c r="N178" s="162" t="str">
        <f t="shared" si="5"/>
        <v/>
      </c>
    </row>
    <row r="179" spans="1:14" ht="19.5" customHeight="1" x14ac:dyDescent="0.2">
      <c r="A179" s="160" t="str">
        <f t="shared" si="4"/>
        <v/>
      </c>
      <c r="B179" s="151" t="str">
        <f>IF(A179="","",'sample table mirror'!A139)</f>
        <v/>
      </c>
      <c r="C179" s="166"/>
      <c r="D179" s="166"/>
      <c r="E179" s="167"/>
      <c r="F179" s="169"/>
      <c r="G179" s="169"/>
      <c r="H179" s="168"/>
      <c r="I179" s="168"/>
      <c r="J179" s="168"/>
      <c r="K179" s="168"/>
      <c r="L179" s="169"/>
      <c r="M179" s="4">
        <f>'sample table mirror'!L139</f>
        <v>0</v>
      </c>
      <c r="N179" s="162" t="str">
        <f t="shared" si="5"/>
        <v/>
      </c>
    </row>
    <row r="180" spans="1:14" ht="19.5" customHeight="1" x14ac:dyDescent="0.2">
      <c r="A180" s="160" t="str">
        <f t="shared" si="4"/>
        <v/>
      </c>
      <c r="B180" s="151" t="str">
        <f>IF(A180="","",'sample table mirror'!A140)</f>
        <v/>
      </c>
      <c r="C180" s="166"/>
      <c r="D180" s="166"/>
      <c r="E180" s="167"/>
      <c r="F180" s="169"/>
      <c r="G180" s="169"/>
      <c r="H180" s="168"/>
      <c r="I180" s="168"/>
      <c r="J180" s="168"/>
      <c r="K180" s="168"/>
      <c r="L180" s="169"/>
      <c r="M180" s="4">
        <f>'sample table mirror'!L140</f>
        <v>0</v>
      </c>
      <c r="N180" s="162" t="str">
        <f t="shared" si="5"/>
        <v/>
      </c>
    </row>
    <row r="181" spans="1:14" ht="19.5" customHeight="1" x14ac:dyDescent="0.2">
      <c r="A181" s="160" t="str">
        <f t="shared" si="4"/>
        <v/>
      </c>
      <c r="B181" s="151" t="str">
        <f>IF(A181="","",'sample table mirror'!A141)</f>
        <v/>
      </c>
      <c r="C181" s="166"/>
      <c r="D181" s="166"/>
      <c r="E181" s="167"/>
      <c r="F181" s="169"/>
      <c r="G181" s="169"/>
      <c r="H181" s="168"/>
      <c r="I181" s="168"/>
      <c r="J181" s="168"/>
      <c r="K181" s="168"/>
      <c r="L181" s="169"/>
      <c r="M181" s="4">
        <f>'sample table mirror'!L141</f>
        <v>0</v>
      </c>
      <c r="N181" s="162" t="str">
        <f t="shared" si="5"/>
        <v/>
      </c>
    </row>
    <row r="182" spans="1:14" ht="19.5" customHeight="1" x14ac:dyDescent="0.2">
      <c r="A182" s="160" t="str">
        <f t="shared" si="4"/>
        <v/>
      </c>
      <c r="B182" s="151" t="str">
        <f>IF(A182="","",'sample table mirror'!A142)</f>
        <v/>
      </c>
      <c r="C182" s="166"/>
      <c r="D182" s="166"/>
      <c r="E182" s="167"/>
      <c r="F182" s="169"/>
      <c r="G182" s="169"/>
      <c r="H182" s="168"/>
      <c r="I182" s="168"/>
      <c r="J182" s="168"/>
      <c r="K182" s="168"/>
      <c r="L182" s="169"/>
      <c r="M182" s="4">
        <f>'sample table mirror'!L142</f>
        <v>0</v>
      </c>
      <c r="N182" s="162" t="str">
        <f t="shared" si="5"/>
        <v/>
      </c>
    </row>
    <row r="183" spans="1:14" ht="19.5" customHeight="1" x14ac:dyDescent="0.2">
      <c r="A183" s="160" t="str">
        <f t="shared" si="4"/>
        <v/>
      </c>
      <c r="B183" s="151" t="str">
        <f>IF(A183="","",'sample table mirror'!A143)</f>
        <v/>
      </c>
      <c r="C183" s="166"/>
      <c r="D183" s="166"/>
      <c r="E183" s="167"/>
      <c r="F183" s="169"/>
      <c r="G183" s="169"/>
      <c r="H183" s="168"/>
      <c r="I183" s="168"/>
      <c r="J183" s="168"/>
      <c r="K183" s="168"/>
      <c r="L183" s="169"/>
      <c r="M183" s="4">
        <f>'sample table mirror'!L143</f>
        <v>0</v>
      </c>
      <c r="N183" s="162" t="str">
        <f t="shared" si="5"/>
        <v/>
      </c>
    </row>
    <row r="184" spans="1:14" ht="19.5" customHeight="1" x14ac:dyDescent="0.2">
      <c r="A184" s="160" t="str">
        <f t="shared" si="4"/>
        <v/>
      </c>
      <c r="B184" s="151" t="str">
        <f>IF(A184="","",'sample table mirror'!A144)</f>
        <v/>
      </c>
      <c r="C184" s="166"/>
      <c r="D184" s="166"/>
      <c r="E184" s="167"/>
      <c r="F184" s="169"/>
      <c r="G184" s="169"/>
      <c r="H184" s="168"/>
      <c r="I184" s="168"/>
      <c r="J184" s="168"/>
      <c r="K184" s="168"/>
      <c r="L184" s="169"/>
      <c r="M184" s="4">
        <f>'sample table mirror'!L144</f>
        <v>0</v>
      </c>
      <c r="N184" s="162" t="str">
        <f t="shared" si="5"/>
        <v/>
      </c>
    </row>
    <row r="185" spans="1:14" ht="19.5" customHeight="1" x14ac:dyDescent="0.2">
      <c r="A185" s="160" t="str">
        <f t="shared" si="4"/>
        <v/>
      </c>
      <c r="B185" s="151" t="str">
        <f>IF(A185="","",'sample table mirror'!A145)</f>
        <v/>
      </c>
      <c r="C185" s="166"/>
      <c r="D185" s="166"/>
      <c r="E185" s="167"/>
      <c r="F185" s="169"/>
      <c r="G185" s="169"/>
      <c r="H185" s="168"/>
      <c r="I185" s="168"/>
      <c r="J185" s="168"/>
      <c r="K185" s="168"/>
      <c r="L185" s="169"/>
      <c r="M185" s="4">
        <f>'sample table mirror'!L145</f>
        <v>0</v>
      </c>
      <c r="N185" s="162" t="str">
        <f t="shared" si="5"/>
        <v/>
      </c>
    </row>
    <row r="186" spans="1:14" ht="19.5" customHeight="1" x14ac:dyDescent="0.2">
      <c r="A186" s="160" t="str">
        <f t="shared" si="4"/>
        <v/>
      </c>
      <c r="B186" s="151" t="str">
        <f>IF(A186="","",'sample table mirror'!A146)</f>
        <v/>
      </c>
      <c r="C186" s="166"/>
      <c r="D186" s="166"/>
      <c r="E186" s="167"/>
      <c r="F186" s="169"/>
      <c r="G186" s="169"/>
      <c r="H186" s="168"/>
      <c r="I186" s="168"/>
      <c r="J186" s="168"/>
      <c r="K186" s="168"/>
      <c r="L186" s="169"/>
      <c r="M186" s="4">
        <f>'sample table mirror'!L146</f>
        <v>0</v>
      </c>
      <c r="N186" s="162" t="str">
        <f t="shared" si="5"/>
        <v/>
      </c>
    </row>
    <row r="187" spans="1:14" ht="19.5" customHeight="1" x14ac:dyDescent="0.2">
      <c r="A187" s="160" t="str">
        <f t="shared" si="4"/>
        <v/>
      </c>
      <c r="B187" s="151" t="str">
        <f>IF(A187="","",'sample table mirror'!A147)</f>
        <v/>
      </c>
      <c r="C187" s="166"/>
      <c r="D187" s="166"/>
      <c r="E187" s="167"/>
      <c r="F187" s="169"/>
      <c r="G187" s="169"/>
      <c r="H187" s="168"/>
      <c r="I187" s="168"/>
      <c r="J187" s="168"/>
      <c r="K187" s="168"/>
      <c r="L187" s="169"/>
      <c r="M187" s="4">
        <f>'sample table mirror'!L147</f>
        <v>0</v>
      </c>
      <c r="N187" s="162" t="str">
        <f t="shared" si="5"/>
        <v/>
      </c>
    </row>
    <row r="188" spans="1:14" ht="19.5" customHeight="1" x14ac:dyDescent="0.2">
      <c r="A188" s="160" t="str">
        <f t="shared" si="4"/>
        <v/>
      </c>
      <c r="B188" s="151" t="str">
        <f>IF(A188="","",'sample table mirror'!A148)</f>
        <v/>
      </c>
      <c r="C188" s="166"/>
      <c r="D188" s="166"/>
      <c r="E188" s="167"/>
      <c r="F188" s="169"/>
      <c r="G188" s="169"/>
      <c r="H188" s="168"/>
      <c r="I188" s="168"/>
      <c r="J188" s="168"/>
      <c r="K188" s="168"/>
      <c r="L188" s="169"/>
      <c r="M188" s="4">
        <f>'sample table mirror'!L148</f>
        <v>0</v>
      </c>
      <c r="N188" s="162" t="str">
        <f t="shared" si="5"/>
        <v/>
      </c>
    </row>
    <row r="189" spans="1:14" ht="19.5" customHeight="1" x14ac:dyDescent="0.2">
      <c r="A189" s="160" t="str">
        <f t="shared" si="4"/>
        <v/>
      </c>
      <c r="B189" s="151" t="str">
        <f>IF(A189="","",'sample table mirror'!A149)</f>
        <v/>
      </c>
      <c r="C189" s="166"/>
      <c r="D189" s="166"/>
      <c r="E189" s="167"/>
      <c r="F189" s="169"/>
      <c r="G189" s="169"/>
      <c r="H189" s="168"/>
      <c r="I189" s="168"/>
      <c r="J189" s="168"/>
      <c r="K189" s="168"/>
      <c r="L189" s="169"/>
      <c r="M189" s="4">
        <f>'sample table mirror'!L149</f>
        <v>0</v>
      </c>
      <c r="N189" s="162" t="str">
        <f t="shared" si="5"/>
        <v/>
      </c>
    </row>
    <row r="190" spans="1:14" ht="19.5" customHeight="1" x14ac:dyDescent="0.2">
      <c r="A190" s="160" t="str">
        <f t="shared" si="4"/>
        <v/>
      </c>
      <c r="B190" s="151" t="str">
        <f>IF(A190="","",'sample table mirror'!A150)</f>
        <v/>
      </c>
      <c r="C190" s="166"/>
      <c r="D190" s="166"/>
      <c r="E190" s="167"/>
      <c r="F190" s="169"/>
      <c r="G190" s="169"/>
      <c r="H190" s="168"/>
      <c r="I190" s="168"/>
      <c r="J190" s="168"/>
      <c r="K190" s="168"/>
      <c r="L190" s="169"/>
      <c r="M190" s="4">
        <f>'sample table mirror'!L150</f>
        <v>0</v>
      </c>
      <c r="N190" s="162" t="str">
        <f t="shared" si="5"/>
        <v/>
      </c>
    </row>
    <row r="191" spans="1:14" ht="19.5" customHeight="1" x14ac:dyDescent="0.2">
      <c r="A191" s="160" t="str">
        <f t="shared" si="4"/>
        <v/>
      </c>
      <c r="B191" s="151" t="str">
        <f>IF(A191="","",'sample table mirror'!A151)</f>
        <v/>
      </c>
      <c r="C191" s="166"/>
      <c r="D191" s="166"/>
      <c r="E191" s="167"/>
      <c r="F191" s="169"/>
      <c r="G191" s="169"/>
      <c r="H191" s="168"/>
      <c r="I191" s="168"/>
      <c r="J191" s="168"/>
      <c r="K191" s="168"/>
      <c r="L191" s="169"/>
      <c r="M191" s="4">
        <f>'sample table mirror'!L151</f>
        <v>0</v>
      </c>
      <c r="N191" s="162" t="str">
        <f t="shared" si="5"/>
        <v/>
      </c>
    </row>
    <row r="192" spans="1:14" ht="19.5" customHeight="1" x14ac:dyDescent="0.2">
      <c r="A192" s="160" t="str">
        <f t="shared" si="4"/>
        <v/>
      </c>
      <c r="B192" s="151" t="str">
        <f>IF(A192="","",'sample table mirror'!A152)</f>
        <v/>
      </c>
      <c r="C192" s="166"/>
      <c r="D192" s="166"/>
      <c r="E192" s="167"/>
      <c r="F192" s="169"/>
      <c r="G192" s="169"/>
      <c r="H192" s="168"/>
      <c r="I192" s="168"/>
      <c r="J192" s="168"/>
      <c r="K192" s="168"/>
      <c r="L192" s="169"/>
      <c r="M192" s="4">
        <f>'sample table mirror'!L152</f>
        <v>0</v>
      </c>
      <c r="N192" s="162" t="str">
        <f t="shared" si="5"/>
        <v/>
      </c>
    </row>
    <row r="193" spans="1:14" x14ac:dyDescent="0.2">
      <c r="A193" s="158" t="s">
        <v>152</v>
      </c>
      <c r="B193" s="158" t="s">
        <v>152</v>
      </c>
      <c r="C193" s="158" t="s">
        <v>152</v>
      </c>
      <c r="D193" s="158" t="s">
        <v>152</v>
      </c>
      <c r="E193" s="158" t="s">
        <v>152</v>
      </c>
      <c r="F193" s="158" t="s">
        <v>152</v>
      </c>
      <c r="G193" s="158" t="s">
        <v>152</v>
      </c>
      <c r="H193" s="158" t="s">
        <v>152</v>
      </c>
      <c r="I193" s="158" t="s">
        <v>152</v>
      </c>
      <c r="J193" s="158" t="s">
        <v>152</v>
      </c>
      <c r="K193" s="158" t="s">
        <v>152</v>
      </c>
      <c r="L193" s="158" t="s">
        <v>152</v>
      </c>
      <c r="M193" s="158" t="s">
        <v>152</v>
      </c>
      <c r="N193" s="158" t="s">
        <v>152</v>
      </c>
    </row>
    <row r="195" spans="1:14" x14ac:dyDescent="0.2">
      <c r="A195" s="159" t="s">
        <v>153</v>
      </c>
    </row>
  </sheetData>
  <sheetProtection algorithmName="SHA-512" hashValue="UfcLYDCTC8yq4MG0vHX2KyOYTao0AdfjdOUvTiy4l9CubqTOzEhhOCBU8KIhw3OhifDvr3Fyg2PqR1kXQS+6Dg==" saltValue="TgLWHo30t6gDChHx9I2m8Q==" spinCount="100000" sheet="1" objects="1" scenarios="1" selectLockedCells="1"/>
  <mergeCells count="527">
    <mergeCell ref="H191:I191"/>
    <mergeCell ref="J191:K191"/>
    <mergeCell ref="H192:I192"/>
    <mergeCell ref="J192:K192"/>
    <mergeCell ref="H186:I186"/>
    <mergeCell ref="J186:K186"/>
    <mergeCell ref="H187:I187"/>
    <mergeCell ref="J187:K187"/>
    <mergeCell ref="H188:I188"/>
    <mergeCell ref="J188:K188"/>
    <mergeCell ref="H189:I189"/>
    <mergeCell ref="J189:K189"/>
    <mergeCell ref="H190:I190"/>
    <mergeCell ref="J190:K190"/>
    <mergeCell ref="H181:I181"/>
    <mergeCell ref="J181:K181"/>
    <mergeCell ref="H182:I182"/>
    <mergeCell ref="J182:K182"/>
    <mergeCell ref="H183:I183"/>
    <mergeCell ref="J183:K183"/>
    <mergeCell ref="H184:I184"/>
    <mergeCell ref="J184:K184"/>
    <mergeCell ref="H185:I185"/>
    <mergeCell ref="J185:K185"/>
    <mergeCell ref="H176:I176"/>
    <mergeCell ref="J176:K176"/>
    <mergeCell ref="H177:I177"/>
    <mergeCell ref="J177:K177"/>
    <mergeCell ref="H178:I178"/>
    <mergeCell ref="J178:K178"/>
    <mergeCell ref="H179:I179"/>
    <mergeCell ref="J179:K179"/>
    <mergeCell ref="H180:I180"/>
    <mergeCell ref="J180:K180"/>
    <mergeCell ref="H171:I171"/>
    <mergeCell ref="J171:K171"/>
    <mergeCell ref="H172:I172"/>
    <mergeCell ref="J172:K172"/>
    <mergeCell ref="H173:I173"/>
    <mergeCell ref="J173:K173"/>
    <mergeCell ref="H174:I174"/>
    <mergeCell ref="J174:K174"/>
    <mergeCell ref="H175:I175"/>
    <mergeCell ref="J175:K175"/>
    <mergeCell ref="H166:I166"/>
    <mergeCell ref="J166:K166"/>
    <mergeCell ref="H167:I167"/>
    <mergeCell ref="J167:K167"/>
    <mergeCell ref="H168:I168"/>
    <mergeCell ref="J168:K168"/>
    <mergeCell ref="H169:I169"/>
    <mergeCell ref="J169:K169"/>
    <mergeCell ref="H170:I170"/>
    <mergeCell ref="J170:K170"/>
    <mergeCell ref="H161:I161"/>
    <mergeCell ref="J161:K161"/>
    <mergeCell ref="H162:I162"/>
    <mergeCell ref="J162:K162"/>
    <mergeCell ref="H163:I163"/>
    <mergeCell ref="J163:K163"/>
    <mergeCell ref="H164:I164"/>
    <mergeCell ref="J164:K164"/>
    <mergeCell ref="H165:I165"/>
    <mergeCell ref="J165:K165"/>
    <mergeCell ref="H156:I156"/>
    <mergeCell ref="J156:K156"/>
    <mergeCell ref="H157:I157"/>
    <mergeCell ref="J157:K157"/>
    <mergeCell ref="H158:I158"/>
    <mergeCell ref="J158:K158"/>
    <mergeCell ref="H159:I159"/>
    <mergeCell ref="J159:K159"/>
    <mergeCell ref="H160:I160"/>
    <mergeCell ref="J160:K160"/>
    <mergeCell ref="H151:I151"/>
    <mergeCell ref="J151:K151"/>
    <mergeCell ref="H152:I152"/>
    <mergeCell ref="J152:K152"/>
    <mergeCell ref="H153:I153"/>
    <mergeCell ref="J153:K153"/>
    <mergeCell ref="H154:I154"/>
    <mergeCell ref="J154:K154"/>
    <mergeCell ref="H155:I155"/>
    <mergeCell ref="J155:K155"/>
    <mergeCell ref="H146:I146"/>
    <mergeCell ref="J146:K146"/>
    <mergeCell ref="H147:I147"/>
    <mergeCell ref="J147:K147"/>
    <mergeCell ref="H148:I148"/>
    <mergeCell ref="J148:K148"/>
    <mergeCell ref="H149:I149"/>
    <mergeCell ref="J149:K149"/>
    <mergeCell ref="H150:I150"/>
    <mergeCell ref="J150:K150"/>
    <mergeCell ref="H141:I141"/>
    <mergeCell ref="J141:K141"/>
    <mergeCell ref="H142:I142"/>
    <mergeCell ref="J142:K142"/>
    <mergeCell ref="H143:I143"/>
    <mergeCell ref="J143:K143"/>
    <mergeCell ref="H144:I144"/>
    <mergeCell ref="J144:K144"/>
    <mergeCell ref="H145:I145"/>
    <mergeCell ref="J145:K145"/>
    <mergeCell ref="H136:I136"/>
    <mergeCell ref="J136:K136"/>
    <mergeCell ref="H137:I137"/>
    <mergeCell ref="J137:K137"/>
    <mergeCell ref="H138:I138"/>
    <mergeCell ref="J138:K138"/>
    <mergeCell ref="H139:I139"/>
    <mergeCell ref="J139:K139"/>
    <mergeCell ref="H140:I140"/>
    <mergeCell ref="J140:K140"/>
    <mergeCell ref="H131:I131"/>
    <mergeCell ref="J131:K131"/>
    <mergeCell ref="H132:I132"/>
    <mergeCell ref="J132:K132"/>
    <mergeCell ref="H133:I133"/>
    <mergeCell ref="J133:K133"/>
    <mergeCell ref="H134:I134"/>
    <mergeCell ref="J134:K134"/>
    <mergeCell ref="H135:I135"/>
    <mergeCell ref="J135:K135"/>
    <mergeCell ref="H126:I126"/>
    <mergeCell ref="J126:K126"/>
    <mergeCell ref="H127:I127"/>
    <mergeCell ref="J127:K127"/>
    <mergeCell ref="H128:I128"/>
    <mergeCell ref="J128:K128"/>
    <mergeCell ref="H129:I129"/>
    <mergeCell ref="J129:K129"/>
    <mergeCell ref="H130:I130"/>
    <mergeCell ref="J130:K130"/>
    <mergeCell ref="H121:I121"/>
    <mergeCell ref="J121:K121"/>
    <mergeCell ref="H122:I122"/>
    <mergeCell ref="J122:K122"/>
    <mergeCell ref="H123:I123"/>
    <mergeCell ref="J123:K123"/>
    <mergeCell ref="H124:I124"/>
    <mergeCell ref="J124:K124"/>
    <mergeCell ref="H125:I125"/>
    <mergeCell ref="J125:K125"/>
    <mergeCell ref="H116:I116"/>
    <mergeCell ref="J116:K116"/>
    <mergeCell ref="H117:I117"/>
    <mergeCell ref="J117:K117"/>
    <mergeCell ref="H118:I118"/>
    <mergeCell ref="J118:K118"/>
    <mergeCell ref="H119:I119"/>
    <mergeCell ref="J119:K119"/>
    <mergeCell ref="H120:I120"/>
    <mergeCell ref="J120:K120"/>
    <mergeCell ref="H111:I111"/>
    <mergeCell ref="J111:K111"/>
    <mergeCell ref="H112:I112"/>
    <mergeCell ref="J112:K112"/>
    <mergeCell ref="H113:I113"/>
    <mergeCell ref="J113:K113"/>
    <mergeCell ref="H114:I114"/>
    <mergeCell ref="J114:K114"/>
    <mergeCell ref="H115:I115"/>
    <mergeCell ref="J115:K115"/>
    <mergeCell ref="H106:I106"/>
    <mergeCell ref="J106:K106"/>
    <mergeCell ref="H107:I107"/>
    <mergeCell ref="J107:K107"/>
    <mergeCell ref="H108:I108"/>
    <mergeCell ref="J108:K108"/>
    <mergeCell ref="H109:I109"/>
    <mergeCell ref="J109:K109"/>
    <mergeCell ref="H110:I110"/>
    <mergeCell ref="J110:K110"/>
    <mergeCell ref="H101:I101"/>
    <mergeCell ref="J101:K101"/>
    <mergeCell ref="H102:I102"/>
    <mergeCell ref="J102:K102"/>
    <mergeCell ref="H103:I103"/>
    <mergeCell ref="J103:K103"/>
    <mergeCell ref="H104:I104"/>
    <mergeCell ref="J104:K104"/>
    <mergeCell ref="H105:I105"/>
    <mergeCell ref="J105:K105"/>
    <mergeCell ref="H96:I96"/>
    <mergeCell ref="J96:K96"/>
    <mergeCell ref="H97:I97"/>
    <mergeCell ref="J97:K97"/>
    <mergeCell ref="H98:I98"/>
    <mergeCell ref="J98:K98"/>
    <mergeCell ref="H99:I99"/>
    <mergeCell ref="J99:K99"/>
    <mergeCell ref="H100:I100"/>
    <mergeCell ref="J100:K100"/>
    <mergeCell ref="H91:I91"/>
    <mergeCell ref="J91:K91"/>
    <mergeCell ref="H92:I92"/>
    <mergeCell ref="J92:K92"/>
    <mergeCell ref="H93:I93"/>
    <mergeCell ref="J93:K93"/>
    <mergeCell ref="H94:I94"/>
    <mergeCell ref="J94:K94"/>
    <mergeCell ref="H95:I95"/>
    <mergeCell ref="J95:K95"/>
    <mergeCell ref="H86:I86"/>
    <mergeCell ref="J86:K86"/>
    <mergeCell ref="H87:I87"/>
    <mergeCell ref="J87:K87"/>
    <mergeCell ref="H88:I88"/>
    <mergeCell ref="J88:K88"/>
    <mergeCell ref="H89:I89"/>
    <mergeCell ref="J89:K89"/>
    <mergeCell ref="H90:I90"/>
    <mergeCell ref="J90:K90"/>
    <mergeCell ref="H81:I81"/>
    <mergeCell ref="J81:K81"/>
    <mergeCell ref="H82:I82"/>
    <mergeCell ref="J82:K82"/>
    <mergeCell ref="H83:I83"/>
    <mergeCell ref="J83:K83"/>
    <mergeCell ref="H84:I84"/>
    <mergeCell ref="J84:K84"/>
    <mergeCell ref="H85:I85"/>
    <mergeCell ref="J85:K85"/>
    <mergeCell ref="H76:I76"/>
    <mergeCell ref="J76:K76"/>
    <mergeCell ref="H77:I77"/>
    <mergeCell ref="J77:K77"/>
    <mergeCell ref="H78:I78"/>
    <mergeCell ref="J78:K78"/>
    <mergeCell ref="H79:I79"/>
    <mergeCell ref="J79:K79"/>
    <mergeCell ref="H80:I80"/>
    <mergeCell ref="J80:K80"/>
    <mergeCell ref="H71:I71"/>
    <mergeCell ref="J71:K71"/>
    <mergeCell ref="H72:I72"/>
    <mergeCell ref="J72:K72"/>
    <mergeCell ref="H73:I73"/>
    <mergeCell ref="J73:K73"/>
    <mergeCell ref="H74:I74"/>
    <mergeCell ref="J74:K74"/>
    <mergeCell ref="H75:I75"/>
    <mergeCell ref="J75:K75"/>
    <mergeCell ref="C192:D192"/>
    <mergeCell ref="C183:D183"/>
    <mergeCell ref="C184:D184"/>
    <mergeCell ref="C185:D185"/>
    <mergeCell ref="C186:D186"/>
    <mergeCell ref="C187:D187"/>
    <mergeCell ref="C188:D188"/>
    <mergeCell ref="C189:D189"/>
    <mergeCell ref="C190:D190"/>
    <mergeCell ref="C191:D191"/>
    <mergeCell ref="C174:D174"/>
    <mergeCell ref="C175:D175"/>
    <mergeCell ref="C176:D176"/>
    <mergeCell ref="C177:D177"/>
    <mergeCell ref="C178:D178"/>
    <mergeCell ref="C179:D179"/>
    <mergeCell ref="C180:D180"/>
    <mergeCell ref="C181:D181"/>
    <mergeCell ref="C182:D182"/>
    <mergeCell ref="C165:D165"/>
    <mergeCell ref="C166:D166"/>
    <mergeCell ref="C167:D167"/>
    <mergeCell ref="C168:D168"/>
    <mergeCell ref="C169:D169"/>
    <mergeCell ref="C170:D170"/>
    <mergeCell ref="C171:D171"/>
    <mergeCell ref="C172:D172"/>
    <mergeCell ref="C173:D173"/>
    <mergeCell ref="C156:D156"/>
    <mergeCell ref="C157:D157"/>
    <mergeCell ref="C158:D158"/>
    <mergeCell ref="C159:D159"/>
    <mergeCell ref="C160:D160"/>
    <mergeCell ref="C161:D161"/>
    <mergeCell ref="C162:D162"/>
    <mergeCell ref="C163:D163"/>
    <mergeCell ref="C164:D164"/>
    <mergeCell ref="C147:D147"/>
    <mergeCell ref="C148:D148"/>
    <mergeCell ref="C149:D149"/>
    <mergeCell ref="C150:D150"/>
    <mergeCell ref="C151:D151"/>
    <mergeCell ref="C152:D152"/>
    <mergeCell ref="C153:D153"/>
    <mergeCell ref="C154:D154"/>
    <mergeCell ref="C155:D155"/>
    <mergeCell ref="C138:D138"/>
    <mergeCell ref="C139:D139"/>
    <mergeCell ref="C140:D140"/>
    <mergeCell ref="C141:D141"/>
    <mergeCell ref="C142:D142"/>
    <mergeCell ref="C143:D143"/>
    <mergeCell ref="C144:D144"/>
    <mergeCell ref="C145:D145"/>
    <mergeCell ref="C146:D146"/>
    <mergeCell ref="C129:D129"/>
    <mergeCell ref="C130:D130"/>
    <mergeCell ref="C131:D131"/>
    <mergeCell ref="C132:D132"/>
    <mergeCell ref="C133:D133"/>
    <mergeCell ref="C134:D134"/>
    <mergeCell ref="C135:D135"/>
    <mergeCell ref="C136:D136"/>
    <mergeCell ref="C137:D137"/>
    <mergeCell ref="C120:D120"/>
    <mergeCell ref="C121:D121"/>
    <mergeCell ref="C122:D122"/>
    <mergeCell ref="C123:D123"/>
    <mergeCell ref="C124:D124"/>
    <mergeCell ref="C125:D125"/>
    <mergeCell ref="C126:D126"/>
    <mergeCell ref="C127:D127"/>
    <mergeCell ref="C128:D128"/>
    <mergeCell ref="C111:D111"/>
    <mergeCell ref="C112:D112"/>
    <mergeCell ref="C113:D113"/>
    <mergeCell ref="C114:D114"/>
    <mergeCell ref="C115:D115"/>
    <mergeCell ref="C116:D116"/>
    <mergeCell ref="C117:D117"/>
    <mergeCell ref="C118:D118"/>
    <mergeCell ref="C119:D119"/>
    <mergeCell ref="C102:D102"/>
    <mergeCell ref="C103:D103"/>
    <mergeCell ref="C104:D104"/>
    <mergeCell ref="C105:D105"/>
    <mergeCell ref="C106:D106"/>
    <mergeCell ref="C107:D107"/>
    <mergeCell ref="C108:D108"/>
    <mergeCell ref="C109:D109"/>
    <mergeCell ref="C110:D110"/>
    <mergeCell ref="C93:D93"/>
    <mergeCell ref="C94:D94"/>
    <mergeCell ref="C95:D95"/>
    <mergeCell ref="C96:D96"/>
    <mergeCell ref="C97:D97"/>
    <mergeCell ref="C98:D98"/>
    <mergeCell ref="C99:D99"/>
    <mergeCell ref="C100:D100"/>
    <mergeCell ref="C101:D101"/>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H68:I68"/>
    <mergeCell ref="J68:K68"/>
    <mergeCell ref="H69:I69"/>
    <mergeCell ref="J69:K69"/>
    <mergeCell ref="H70:I70"/>
    <mergeCell ref="J70:K70"/>
    <mergeCell ref="H65:I65"/>
    <mergeCell ref="J65:K65"/>
    <mergeCell ref="H66:I66"/>
    <mergeCell ref="J66:K66"/>
    <mergeCell ref="H67:I67"/>
    <mergeCell ref="J67:K67"/>
    <mergeCell ref="H54:I54"/>
    <mergeCell ref="J54:K54"/>
    <mergeCell ref="H55:I55"/>
    <mergeCell ref="J55:K55"/>
    <mergeCell ref="H62:I62"/>
    <mergeCell ref="J62:K62"/>
    <mergeCell ref="H63:I63"/>
    <mergeCell ref="J63:K63"/>
    <mergeCell ref="H64:I64"/>
    <mergeCell ref="J64:K64"/>
    <mergeCell ref="H59:I59"/>
    <mergeCell ref="J59:K59"/>
    <mergeCell ref="H60:I60"/>
    <mergeCell ref="J60:K60"/>
    <mergeCell ref="H61:I61"/>
    <mergeCell ref="J61:K61"/>
    <mergeCell ref="C69:D69"/>
    <mergeCell ref="C70:D70"/>
    <mergeCell ref="H43:I43"/>
    <mergeCell ref="J43:K43"/>
    <mergeCell ref="H44:I44"/>
    <mergeCell ref="J44:K44"/>
    <mergeCell ref="H45:I45"/>
    <mergeCell ref="J45:K45"/>
    <mergeCell ref="H46:I46"/>
    <mergeCell ref="J46:K46"/>
    <mergeCell ref="H47:I47"/>
    <mergeCell ref="J47:K47"/>
    <mergeCell ref="H48:I48"/>
    <mergeCell ref="J48:K48"/>
    <mergeCell ref="H49:I49"/>
    <mergeCell ref="J49:K49"/>
    <mergeCell ref="C64:D64"/>
    <mergeCell ref="C65:D65"/>
    <mergeCell ref="H56:I56"/>
    <mergeCell ref="J56:K56"/>
    <mergeCell ref="H57:I57"/>
    <mergeCell ref="J57:K57"/>
    <mergeCell ref="H58:I58"/>
    <mergeCell ref="J58:K58"/>
    <mergeCell ref="C12:E12"/>
    <mergeCell ref="F9:F10"/>
    <mergeCell ref="A2:E2"/>
    <mergeCell ref="F2:L2"/>
    <mergeCell ref="C8:E8"/>
    <mergeCell ref="C68:D68"/>
    <mergeCell ref="C59:D59"/>
    <mergeCell ref="C60:D60"/>
    <mergeCell ref="C61:D61"/>
    <mergeCell ref="C62:D62"/>
    <mergeCell ref="C63:D63"/>
    <mergeCell ref="C54:D54"/>
    <mergeCell ref="C55:D55"/>
    <mergeCell ref="C56:D56"/>
    <mergeCell ref="C57:D57"/>
    <mergeCell ref="C58:D58"/>
    <mergeCell ref="H50:I50"/>
    <mergeCell ref="J50:K50"/>
    <mergeCell ref="H51:I51"/>
    <mergeCell ref="J51:K51"/>
    <mergeCell ref="H52:I52"/>
    <mergeCell ref="J52:K52"/>
    <mergeCell ref="H53:I53"/>
    <mergeCell ref="J53:K53"/>
    <mergeCell ref="B37:L37"/>
    <mergeCell ref="B38:L38"/>
    <mergeCell ref="B39:L39"/>
    <mergeCell ref="B40:L40"/>
    <mergeCell ref="A26:A27"/>
    <mergeCell ref="A1:L1"/>
    <mergeCell ref="B17:D17"/>
    <mergeCell ref="C11:E11"/>
    <mergeCell ref="B14:D14"/>
    <mergeCell ref="B15:D15"/>
    <mergeCell ref="B18:D18"/>
    <mergeCell ref="G12:L12"/>
    <mergeCell ref="G11:L11"/>
    <mergeCell ref="A14:A20"/>
    <mergeCell ref="A11:A12"/>
    <mergeCell ref="I14:L14"/>
    <mergeCell ref="I15:L17"/>
    <mergeCell ref="A7:L7"/>
    <mergeCell ref="A3:L3"/>
    <mergeCell ref="A4:L4"/>
    <mergeCell ref="A5:L5"/>
    <mergeCell ref="A6:L6"/>
    <mergeCell ref="A9:A10"/>
    <mergeCell ref="C9:E9"/>
    <mergeCell ref="A22:A24"/>
    <mergeCell ref="F14:H14"/>
    <mergeCell ref="F15:H17"/>
    <mergeCell ref="B16:D16"/>
    <mergeCell ref="E15:E16"/>
    <mergeCell ref="E23:F23"/>
    <mergeCell ref="E24:F24"/>
    <mergeCell ref="B23:D23"/>
    <mergeCell ref="B24:D24"/>
    <mergeCell ref="B20:D20"/>
    <mergeCell ref="B19:D19"/>
    <mergeCell ref="F18:L20"/>
    <mergeCell ref="G23:I23"/>
    <mergeCell ref="G24:I24"/>
    <mergeCell ref="A29:A34"/>
    <mergeCell ref="B29:H29"/>
    <mergeCell ref="I29:L29"/>
    <mergeCell ref="B30:B34"/>
    <mergeCell ref="C30:H30"/>
    <mergeCell ref="C31:H31"/>
    <mergeCell ref="C42:D42"/>
    <mergeCell ref="H42:I42"/>
    <mergeCell ref="J42:K42"/>
    <mergeCell ref="C44:D44"/>
    <mergeCell ref="C45:D45"/>
    <mergeCell ref="C46:D46"/>
    <mergeCell ref="C66:D66"/>
    <mergeCell ref="C67:D67"/>
    <mergeCell ref="C51:D51"/>
    <mergeCell ref="C52:D52"/>
    <mergeCell ref="C53:D53"/>
    <mergeCell ref="C32:H32"/>
    <mergeCell ref="C33:H33"/>
    <mergeCell ref="C43:D43"/>
    <mergeCell ref="B41:L41"/>
    <mergeCell ref="B35:L35"/>
    <mergeCell ref="A36:L36"/>
    <mergeCell ref="H8:I8"/>
    <mergeCell ref="C27:D27"/>
    <mergeCell ref="H9:J9"/>
    <mergeCell ref="C34:H34"/>
    <mergeCell ref="I30:L34"/>
    <mergeCell ref="C47:D47"/>
    <mergeCell ref="C48:D48"/>
    <mergeCell ref="C49:D49"/>
    <mergeCell ref="C50:D50"/>
    <mergeCell ref="H10:L10"/>
    <mergeCell ref="J22:L22"/>
    <mergeCell ref="J23:L23"/>
    <mergeCell ref="J24:L24"/>
    <mergeCell ref="B22:D22"/>
    <mergeCell ref="E22:F22"/>
    <mergeCell ref="G22:I22"/>
    <mergeCell ref="C10:E10"/>
    <mergeCell ref="C26:D26"/>
    <mergeCell ref="E26:H26"/>
    <mergeCell ref="E27:H27"/>
    <mergeCell ref="K26:L26"/>
    <mergeCell ref="K27:L27"/>
    <mergeCell ref="I26:J26"/>
    <mergeCell ref="I27:J27"/>
  </mergeCells>
  <phoneticPr fontId="6" type="noConversion"/>
  <conditionalFormatting sqref="C43:D192">
    <cfRule type="expression" dxfId="5" priority="2">
      <formula>M43&gt;0</formula>
    </cfRule>
  </conditionalFormatting>
  <conditionalFormatting sqref="M43:M192">
    <cfRule type="cellIs" dxfId="4" priority="1" operator="greaterThan">
      <formula>0</formula>
    </cfRule>
  </conditionalFormatting>
  <pageMargins left="0.25" right="0.25" top="0.5" bottom="0.5" header="0.3" footer="0.3"/>
  <pageSetup scale="82" orientation="landscape" r:id="rId1"/>
  <legacyDrawing r:id="rId2"/>
  <extLst>
    <ext xmlns:x14="http://schemas.microsoft.com/office/spreadsheetml/2009/9/main" uri="{CCE6A557-97BC-4b89-ADB6-D9C93CAAB3DF}">
      <x14:dataValidations xmlns:xm="http://schemas.microsoft.com/office/excel/2006/main" count="11">
        <x14:dataValidation type="list" errorStyle="warning" allowBlank="1" showInputMessage="1" errorTitle="Problem detected" error="This is not a valid sample status option. Please contact your technical support representative for assistance." promptTitle="Select sample status:" prompt="we need to know the buffers/solutions you used">
          <x14:formula1>
            <xm:f>'Source code'!$D$3:$D$6</xm:f>
          </x14:formula1>
          <xm:sqref>F15:H17</xm:sqref>
        </x14:dataValidation>
        <x14:dataValidation type="list" allowBlank="1" showInputMessage="1" showErrorMessage="1" prompt="Some methods/kits omit any PCR during library preparation - we need to know whether this applies to any of your samples.">
          <x14:formula1>
            <xm:f>'Source code'!$D$13:$D$17</xm:f>
          </x14:formula1>
          <xm:sqref>F22:F25</xm:sqref>
        </x14:dataValidation>
        <x14:dataValidation type="list" allowBlank="1" showInputMessage="1" showErrorMessage="1">
          <x14:formula1>
            <xm:f>'Source code'!$A$3:$A$7</xm:f>
          </x14:formula1>
          <xm:sqref>E18</xm:sqref>
        </x14:dataValidation>
        <x14:dataValidation type="list" allowBlank="1" showInputMessage="1" showErrorMessage="1">
          <x14:formula1>
            <xm:f>'Source code'!$A$11:$A$16</xm:f>
          </x14:formula1>
          <xm:sqref>E20:E21</xm:sqref>
        </x14:dataValidation>
        <x14:dataValidation type="list" allowBlank="1" showInputMessage="1" showErrorMessage="1">
          <x14:formula1>
            <xm:f>'Source code'!$B$3:$B$9</xm:f>
          </x14:formula1>
          <xm:sqref>I15:L17</xm:sqref>
        </x14:dataValidation>
        <x14:dataValidation type="list" allowBlank="1" showInputMessage="1" showErrorMessage="1">
          <x14:formula1>
            <xm:f>'Source code'!$A$21:$A$24</xm:f>
          </x14:formula1>
          <xm:sqref>K26</xm:sqref>
        </x14:dataValidation>
        <x14:dataValidation type="list" allowBlank="1" showInputMessage="1" showErrorMessage="1">
          <x14:formula1>
            <xm:f>'Source code'!$B$11:$B$16</xm:f>
          </x14:formula1>
          <xm:sqref>I30:L34</xm:sqref>
        </x14:dataValidation>
        <x14:dataValidation type="list" allowBlank="1" showInputMessage="1" showErrorMessage="1">
          <x14:formula1>
            <xm:f>'Source code'!$A$29:$A$33</xm:f>
          </x14:formula1>
          <xm:sqref>K27:K28</xm:sqref>
        </x14:dataValidation>
        <x14:dataValidation type="list" allowBlank="1" showInputMessage="1" showErrorMessage="1">
          <x14:formula1>
            <xm:f>'Source code'!$B$19:$B$21</xm:f>
          </x14:formula1>
          <xm:sqref>G12:L12</xm:sqref>
        </x14:dataValidation>
        <x14:dataValidation type="list" allowBlank="1" showInputMessage="1" showErrorMessage="1" promptTitle="Yes/No/NA">
          <x14:formula1>
            <xm:f>'Source code'!$B$23:$B$25</xm:f>
          </x14:formula1>
          <xm:sqref>E17</xm:sqref>
        </x14:dataValidation>
        <x14:dataValidation type="list" allowBlank="1" showInputMessage="1" showErrorMessage="1">
          <x14:formula1>
            <xm:f>'Source code'!$B$23:$B$25</xm:f>
          </x14:formula1>
          <xm:sqref>E19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S195"/>
  <sheetViews>
    <sheetView zoomScaleNormal="100" zoomScaleSheetLayoutView="100" workbookViewId="0">
      <selection activeCell="C9" sqref="C9:E9"/>
    </sheetView>
  </sheetViews>
  <sheetFormatPr defaultColWidth="8.83203125" defaultRowHeight="12.75" x14ac:dyDescent="0.2"/>
  <cols>
    <col min="1" max="1" width="20.33203125" style="3" customWidth="1"/>
    <col min="2" max="2" width="16" style="3" customWidth="1"/>
    <col min="3" max="3" width="12.5" style="3" customWidth="1"/>
    <col min="4" max="4" width="19.5" style="3" customWidth="1"/>
    <col min="5" max="5" width="22" style="3" customWidth="1"/>
    <col min="6" max="6" width="20.6640625" style="3" customWidth="1"/>
    <col min="7" max="7" width="8.5" style="3" customWidth="1"/>
    <col min="8" max="8" width="6.5" style="3" customWidth="1"/>
    <col min="9" max="9" width="9.1640625" style="3" customWidth="1"/>
    <col min="10" max="10" width="10.83203125" style="3" customWidth="1"/>
    <col min="11" max="11" width="12.33203125" style="3" customWidth="1"/>
    <col min="12" max="12" width="14.6640625" style="3" customWidth="1"/>
    <col min="13" max="13" width="8.83203125" style="3"/>
    <col min="14" max="14" width="27.33203125" style="3" bestFit="1" customWidth="1"/>
    <col min="15" max="15" width="8.83203125" style="3"/>
    <col min="16" max="16" width="13.5" style="3" customWidth="1"/>
    <col min="17" max="16384" width="8.83203125" style="3"/>
  </cols>
  <sheetData>
    <row r="1" spans="1:14" ht="32.1" customHeight="1" x14ac:dyDescent="0.2">
      <c r="A1" s="116" t="s">
        <v>32</v>
      </c>
      <c r="B1" s="117"/>
      <c r="C1" s="117"/>
      <c r="D1" s="117"/>
      <c r="E1" s="117"/>
      <c r="F1" s="117"/>
      <c r="G1" s="117"/>
      <c r="H1" s="117"/>
      <c r="I1" s="117"/>
      <c r="J1" s="117"/>
      <c r="K1" s="117"/>
      <c r="L1" s="118"/>
      <c r="N1" s="34"/>
    </row>
    <row r="2" spans="1:14" s="2" customFormat="1" ht="12" x14ac:dyDescent="0.2">
      <c r="A2" s="145" t="s">
        <v>0</v>
      </c>
      <c r="B2" s="146"/>
      <c r="C2" s="146"/>
      <c r="D2" s="146"/>
      <c r="E2" s="147"/>
      <c r="F2" s="148" t="s">
        <v>104</v>
      </c>
      <c r="G2" s="149"/>
      <c r="H2" s="149"/>
      <c r="I2" s="149"/>
      <c r="J2" s="149"/>
      <c r="K2" s="149"/>
      <c r="L2" s="150"/>
    </row>
    <row r="3" spans="1:14" s="51" customFormat="1" ht="14.25" customHeight="1" x14ac:dyDescent="0.2">
      <c r="A3" s="135" t="s">
        <v>137</v>
      </c>
      <c r="B3" s="136"/>
      <c r="C3" s="136"/>
      <c r="D3" s="136"/>
      <c r="E3" s="136"/>
      <c r="F3" s="136"/>
      <c r="G3" s="136"/>
      <c r="H3" s="136"/>
      <c r="I3" s="136"/>
      <c r="J3" s="136"/>
      <c r="K3" s="136"/>
      <c r="L3" s="136"/>
    </row>
    <row r="4" spans="1:14" s="51" customFormat="1" ht="14.25" customHeight="1" x14ac:dyDescent="0.2">
      <c r="A4" s="137" t="s">
        <v>138</v>
      </c>
      <c r="B4" s="138"/>
      <c r="C4" s="138"/>
      <c r="D4" s="138"/>
      <c r="E4" s="138"/>
      <c r="F4" s="138"/>
      <c r="G4" s="138"/>
      <c r="H4" s="138"/>
      <c r="I4" s="138"/>
      <c r="J4" s="138"/>
      <c r="K4" s="138"/>
      <c r="L4" s="138"/>
    </row>
    <row r="5" spans="1:14" s="51" customFormat="1" ht="14.25" customHeight="1" x14ac:dyDescent="0.2">
      <c r="A5" s="139" t="s">
        <v>139</v>
      </c>
      <c r="B5" s="140"/>
      <c r="C5" s="140"/>
      <c r="D5" s="140"/>
      <c r="E5" s="140"/>
      <c r="F5" s="140"/>
      <c r="G5" s="140"/>
      <c r="H5" s="140"/>
      <c r="I5" s="140"/>
      <c r="J5" s="140"/>
      <c r="K5" s="140"/>
      <c r="L5" s="140"/>
    </row>
    <row r="6" spans="1:14" s="51" customFormat="1" ht="14.25" customHeight="1" x14ac:dyDescent="0.2">
      <c r="A6" s="139" t="s">
        <v>140</v>
      </c>
      <c r="B6" s="140"/>
      <c r="C6" s="140"/>
      <c r="D6" s="140"/>
      <c r="E6" s="140"/>
      <c r="F6" s="140"/>
      <c r="G6" s="140"/>
      <c r="H6" s="140"/>
      <c r="I6" s="140"/>
      <c r="J6" s="140"/>
      <c r="K6" s="140"/>
      <c r="L6" s="140"/>
    </row>
    <row r="7" spans="1:14" ht="16.5" customHeight="1" x14ac:dyDescent="0.2">
      <c r="A7" s="133"/>
      <c r="B7" s="134"/>
      <c r="C7" s="134"/>
      <c r="D7" s="134"/>
      <c r="E7" s="134"/>
      <c r="F7" s="134"/>
      <c r="G7" s="134"/>
      <c r="H7" s="134"/>
      <c r="I7" s="134"/>
      <c r="J7" s="134"/>
      <c r="K7" s="134"/>
      <c r="L7" s="134"/>
    </row>
    <row r="8" spans="1:14" ht="15.75" customHeight="1" thickBot="1" x14ac:dyDescent="0.25">
      <c r="A8" s="17" t="s">
        <v>55</v>
      </c>
      <c r="B8" s="17" t="s">
        <v>56</v>
      </c>
      <c r="C8" s="54"/>
      <c r="D8" s="54"/>
      <c r="E8" s="54"/>
      <c r="F8" s="17" t="s">
        <v>57</v>
      </c>
      <c r="G8" s="17"/>
      <c r="H8" s="54" t="s">
        <v>58</v>
      </c>
      <c r="I8" s="54"/>
      <c r="J8" s="17"/>
      <c r="K8" s="49" t="s">
        <v>59</v>
      </c>
      <c r="L8" s="49"/>
    </row>
    <row r="9" spans="1:14" ht="24.95" customHeight="1" x14ac:dyDescent="0.2">
      <c r="A9" s="141" t="s">
        <v>1</v>
      </c>
      <c r="B9" s="18" t="s">
        <v>54</v>
      </c>
      <c r="C9" s="203" t="s">
        <v>173</v>
      </c>
      <c r="D9" s="204"/>
      <c r="E9" s="205"/>
      <c r="F9" s="143" t="s">
        <v>37</v>
      </c>
      <c r="G9" s="45" t="s">
        <v>38</v>
      </c>
      <c r="H9" s="203" t="s">
        <v>174</v>
      </c>
      <c r="I9" s="204"/>
      <c r="J9" s="204"/>
      <c r="K9" s="52" t="s">
        <v>132</v>
      </c>
      <c r="L9" s="53" t="str">
        <f>LEFT($H$9)&amp;IF(ISNUMBER(FIND(" ",$H$9)),MID($H$9,FIND(" ",$H$9)+1,1),"")&amp;IF(ISNUMBER(FIND(" ",$H$9,FIND(" ",$H$9)+1)),MID($H$9,FIND(" ",$H$9,FIND(" ",$H$9)+1)+1,1),"")</f>
        <v>JD</v>
      </c>
    </row>
    <row r="10" spans="1:14" ht="20.25" customHeight="1" x14ac:dyDescent="0.2">
      <c r="A10" s="142"/>
      <c r="B10" s="42" t="s">
        <v>115</v>
      </c>
      <c r="C10" s="199" t="s">
        <v>176</v>
      </c>
      <c r="D10" s="199"/>
      <c r="E10" s="199"/>
      <c r="F10" s="144"/>
      <c r="G10" s="7" t="s">
        <v>39</v>
      </c>
      <c r="H10" s="200" t="s">
        <v>175</v>
      </c>
      <c r="I10" s="201"/>
      <c r="J10" s="201"/>
      <c r="K10" s="201"/>
      <c r="L10" s="202"/>
    </row>
    <row r="11" spans="1:14" ht="23.1" customHeight="1" x14ac:dyDescent="0.2">
      <c r="A11" s="128" t="s">
        <v>33</v>
      </c>
      <c r="B11" s="6" t="s">
        <v>34</v>
      </c>
      <c r="C11" s="189" t="s">
        <v>177</v>
      </c>
      <c r="D11" s="190"/>
      <c r="E11" s="195"/>
      <c r="F11" s="6" t="s">
        <v>36</v>
      </c>
      <c r="G11" s="189" t="s">
        <v>179</v>
      </c>
      <c r="H11" s="190"/>
      <c r="I11" s="190"/>
      <c r="J11" s="190"/>
      <c r="K11" s="190"/>
      <c r="L11" s="191"/>
    </row>
    <row r="12" spans="1:14" ht="21.95" customHeight="1" thickBot="1" x14ac:dyDescent="0.25">
      <c r="A12" s="129"/>
      <c r="B12" s="19" t="s">
        <v>35</v>
      </c>
      <c r="C12" s="196" t="s">
        <v>178</v>
      </c>
      <c r="D12" s="197"/>
      <c r="E12" s="198"/>
      <c r="F12" s="19" t="s">
        <v>95</v>
      </c>
      <c r="G12" s="192" t="s">
        <v>121</v>
      </c>
      <c r="H12" s="193"/>
      <c r="I12" s="193"/>
      <c r="J12" s="193"/>
      <c r="K12" s="193"/>
      <c r="L12" s="194"/>
    </row>
    <row r="13" spans="1:14" ht="21.95" customHeight="1" thickBot="1" x14ac:dyDescent="0.25">
      <c r="A13" s="26"/>
      <c r="B13" s="44"/>
      <c r="C13" s="15"/>
      <c r="D13" s="15"/>
      <c r="E13" s="15"/>
      <c r="F13" s="44"/>
      <c r="G13" s="27"/>
      <c r="H13" s="15"/>
      <c r="I13" s="15"/>
      <c r="J13" s="15"/>
      <c r="K13" s="15"/>
      <c r="L13" s="15"/>
    </row>
    <row r="14" spans="1:14" ht="25.5" customHeight="1" x14ac:dyDescent="0.2">
      <c r="A14" s="125" t="s">
        <v>40</v>
      </c>
      <c r="B14" s="121" t="s">
        <v>122</v>
      </c>
      <c r="C14" s="122"/>
      <c r="D14" s="122"/>
      <c r="E14" s="206">
        <v>12</v>
      </c>
      <c r="F14" s="93" t="s">
        <v>52</v>
      </c>
      <c r="G14" s="94"/>
      <c r="H14" s="95"/>
      <c r="I14" s="130" t="s">
        <v>105</v>
      </c>
      <c r="J14" s="131"/>
      <c r="K14" s="131"/>
      <c r="L14" s="132"/>
      <c r="N14" s="34"/>
    </row>
    <row r="15" spans="1:14" ht="15" customHeight="1" x14ac:dyDescent="0.2">
      <c r="A15" s="126"/>
      <c r="B15" s="123" t="s">
        <v>78</v>
      </c>
      <c r="C15" s="123"/>
      <c r="D15" s="124"/>
      <c r="E15" s="207" t="s">
        <v>180</v>
      </c>
      <c r="F15" s="174" t="s">
        <v>99</v>
      </c>
      <c r="G15" s="175"/>
      <c r="H15" s="176"/>
      <c r="I15" s="174" t="s">
        <v>48</v>
      </c>
      <c r="J15" s="175"/>
      <c r="K15" s="175"/>
      <c r="L15" s="176"/>
    </row>
    <row r="16" spans="1:14" ht="13.5" customHeight="1" x14ac:dyDescent="0.2">
      <c r="A16" s="126"/>
      <c r="B16" s="96" t="s">
        <v>73</v>
      </c>
      <c r="C16" s="96"/>
      <c r="D16" s="69"/>
      <c r="E16" s="208"/>
      <c r="F16" s="174"/>
      <c r="G16" s="175"/>
      <c r="H16" s="176"/>
      <c r="I16" s="174"/>
      <c r="J16" s="175"/>
      <c r="K16" s="175"/>
      <c r="L16" s="176"/>
    </row>
    <row r="17" spans="1:14" ht="28.5" customHeight="1" thickBot="1" x14ac:dyDescent="0.25">
      <c r="A17" s="126"/>
      <c r="B17" s="119" t="s">
        <v>106</v>
      </c>
      <c r="C17" s="119"/>
      <c r="D17" s="120"/>
      <c r="E17" s="209" t="s">
        <v>120</v>
      </c>
      <c r="F17" s="177"/>
      <c r="G17" s="178"/>
      <c r="H17" s="179"/>
      <c r="I17" s="177"/>
      <c r="J17" s="178"/>
      <c r="K17" s="178"/>
      <c r="L17" s="179"/>
    </row>
    <row r="18" spans="1:14" ht="34.5" customHeight="1" x14ac:dyDescent="0.2">
      <c r="A18" s="126"/>
      <c r="B18" s="102" t="s">
        <v>109</v>
      </c>
      <c r="C18" s="102"/>
      <c r="D18" s="103"/>
      <c r="E18" s="210" t="s">
        <v>41</v>
      </c>
      <c r="F18" s="180" t="s">
        <v>50</v>
      </c>
      <c r="G18" s="181"/>
      <c r="H18" s="181"/>
      <c r="I18" s="181"/>
      <c r="J18" s="181"/>
      <c r="K18" s="181"/>
      <c r="L18" s="182"/>
    </row>
    <row r="19" spans="1:14" ht="27.75" customHeight="1" x14ac:dyDescent="0.2">
      <c r="A19" s="126"/>
      <c r="B19" s="102" t="s">
        <v>107</v>
      </c>
      <c r="C19" s="102"/>
      <c r="D19" s="103"/>
      <c r="E19" s="209" t="s">
        <v>120</v>
      </c>
      <c r="F19" s="183"/>
      <c r="G19" s="184"/>
      <c r="H19" s="184"/>
      <c r="I19" s="184"/>
      <c r="J19" s="184"/>
      <c r="K19" s="184"/>
      <c r="L19" s="185"/>
    </row>
    <row r="20" spans="1:14" ht="37.5" customHeight="1" thickBot="1" x14ac:dyDescent="0.25">
      <c r="A20" s="127"/>
      <c r="B20" s="100" t="s">
        <v>108</v>
      </c>
      <c r="C20" s="100"/>
      <c r="D20" s="101"/>
      <c r="E20" s="211" t="s">
        <v>43</v>
      </c>
      <c r="F20" s="186"/>
      <c r="G20" s="187"/>
      <c r="H20" s="187"/>
      <c r="I20" s="187"/>
      <c r="J20" s="187"/>
      <c r="K20" s="187"/>
      <c r="L20" s="188"/>
    </row>
    <row r="21" spans="1:14" ht="32.25" customHeight="1" thickBot="1" x14ac:dyDescent="0.25">
      <c r="A21" s="20"/>
      <c r="B21" s="21"/>
      <c r="C21" s="21"/>
      <c r="D21" s="22"/>
      <c r="E21" s="23"/>
      <c r="F21" s="46"/>
      <c r="G21" s="46"/>
      <c r="H21" s="46"/>
      <c r="I21" s="46"/>
      <c r="J21" s="46"/>
      <c r="K21" s="46"/>
      <c r="L21" s="47"/>
    </row>
    <row r="22" spans="1:14" ht="28.5" customHeight="1" x14ac:dyDescent="0.2">
      <c r="A22" s="90" t="s">
        <v>126</v>
      </c>
      <c r="B22" s="82" t="s">
        <v>60</v>
      </c>
      <c r="C22" s="82"/>
      <c r="D22" s="82"/>
      <c r="E22" s="74" t="s">
        <v>61</v>
      </c>
      <c r="F22" s="74"/>
      <c r="G22" s="83" t="s">
        <v>62</v>
      </c>
      <c r="H22" s="84"/>
      <c r="I22" s="85"/>
      <c r="J22" s="73" t="s">
        <v>111</v>
      </c>
      <c r="K22" s="74"/>
      <c r="L22" s="75"/>
    </row>
    <row r="23" spans="1:14" ht="31.5" customHeight="1" x14ac:dyDescent="0.2">
      <c r="A23" s="91"/>
      <c r="B23" s="98" t="s">
        <v>14</v>
      </c>
      <c r="C23" s="98"/>
      <c r="D23" s="98"/>
      <c r="E23" s="97" t="s">
        <v>76</v>
      </c>
      <c r="F23" s="97"/>
      <c r="G23" s="104" t="s">
        <v>63</v>
      </c>
      <c r="H23" s="105"/>
      <c r="I23" s="106"/>
      <c r="J23" s="76" t="s">
        <v>67</v>
      </c>
      <c r="K23" s="77"/>
      <c r="L23" s="78"/>
      <c r="N23" s="34"/>
    </row>
    <row r="24" spans="1:14" ht="28.5" customHeight="1" thickBot="1" x14ac:dyDescent="0.25">
      <c r="A24" s="92"/>
      <c r="B24" s="99" t="s">
        <v>16</v>
      </c>
      <c r="C24" s="99"/>
      <c r="D24" s="99"/>
      <c r="E24" s="80" t="s">
        <v>64</v>
      </c>
      <c r="F24" s="80"/>
      <c r="G24" s="107" t="s">
        <v>66</v>
      </c>
      <c r="H24" s="108"/>
      <c r="I24" s="109"/>
      <c r="J24" s="79" t="s">
        <v>65</v>
      </c>
      <c r="K24" s="80"/>
      <c r="L24" s="81"/>
    </row>
    <row r="25" spans="1:14" ht="28.5" customHeight="1" thickBot="1" x14ac:dyDescent="0.25">
      <c r="A25" s="29"/>
      <c r="B25" s="30"/>
      <c r="C25" s="30"/>
      <c r="D25" s="30"/>
      <c r="E25" s="28"/>
      <c r="F25" s="28"/>
      <c r="G25" s="28"/>
      <c r="H25" s="28"/>
      <c r="I25" s="28"/>
      <c r="J25" s="28"/>
      <c r="K25" s="28"/>
      <c r="L25" s="28"/>
    </row>
    <row r="26" spans="1:14" s="1" customFormat="1" ht="45.75" customHeight="1" x14ac:dyDescent="0.2">
      <c r="A26" s="114" t="s">
        <v>69</v>
      </c>
      <c r="B26" s="12" t="s">
        <v>70</v>
      </c>
      <c r="C26" s="63" t="s">
        <v>110</v>
      </c>
      <c r="D26" s="63"/>
      <c r="E26" s="86" t="s">
        <v>167</v>
      </c>
      <c r="F26" s="86"/>
      <c r="G26" s="86"/>
      <c r="H26" s="86"/>
      <c r="I26" s="63" t="s">
        <v>70</v>
      </c>
      <c r="J26" s="63"/>
      <c r="K26" s="212" t="s">
        <v>170</v>
      </c>
      <c r="L26" s="213"/>
      <c r="N26" s="34"/>
    </row>
    <row r="27" spans="1:14" s="1" customFormat="1" ht="45" customHeight="1" thickBot="1" x14ac:dyDescent="0.25">
      <c r="A27" s="115"/>
      <c r="B27" s="13" t="s">
        <v>71</v>
      </c>
      <c r="C27" s="55" t="s">
        <v>141</v>
      </c>
      <c r="D27" s="56"/>
      <c r="E27" s="87" t="s">
        <v>168</v>
      </c>
      <c r="F27" s="87"/>
      <c r="G27" s="87"/>
      <c r="H27" s="87"/>
      <c r="I27" s="88" t="s">
        <v>71</v>
      </c>
      <c r="J27" s="88"/>
      <c r="K27" s="214" t="s">
        <v>171</v>
      </c>
      <c r="L27" s="215"/>
      <c r="N27" s="34"/>
    </row>
    <row r="28" spans="1:14" s="1" customFormat="1" ht="36" customHeight="1" thickBot="1" x14ac:dyDescent="0.25">
      <c r="A28" s="48"/>
      <c r="B28" s="32"/>
      <c r="C28" s="11"/>
      <c r="D28" s="11"/>
      <c r="E28" s="10"/>
      <c r="F28" s="10"/>
      <c r="G28" s="10"/>
      <c r="H28" s="10"/>
      <c r="I28" s="14"/>
      <c r="J28" s="14"/>
      <c r="K28" s="10"/>
      <c r="L28" s="10"/>
    </row>
    <row r="29" spans="1:14" s="1" customFormat="1" ht="36" customHeight="1" x14ac:dyDescent="0.2">
      <c r="A29" s="58" t="s">
        <v>77</v>
      </c>
      <c r="B29" s="61" t="s">
        <v>88</v>
      </c>
      <c r="C29" s="62"/>
      <c r="D29" s="62"/>
      <c r="E29" s="62"/>
      <c r="F29" s="62"/>
      <c r="G29" s="62"/>
      <c r="H29" s="62"/>
      <c r="I29" s="63" t="s">
        <v>82</v>
      </c>
      <c r="J29" s="63"/>
      <c r="K29" s="63"/>
      <c r="L29" s="64"/>
      <c r="N29" s="34"/>
    </row>
    <row r="30" spans="1:14" s="1" customFormat="1" ht="36" customHeight="1" x14ac:dyDescent="0.2">
      <c r="A30" s="59"/>
      <c r="B30" s="65" t="s">
        <v>79</v>
      </c>
      <c r="C30" s="67" t="s">
        <v>80</v>
      </c>
      <c r="D30" s="67"/>
      <c r="E30" s="67"/>
      <c r="F30" s="67"/>
      <c r="G30" s="67"/>
      <c r="H30" s="67"/>
      <c r="I30" s="170" t="s">
        <v>83</v>
      </c>
      <c r="J30" s="170"/>
      <c r="K30" s="170"/>
      <c r="L30" s="171"/>
      <c r="N30" s="34"/>
    </row>
    <row r="31" spans="1:14" s="1" customFormat="1" ht="30.75" customHeight="1" x14ac:dyDescent="0.2">
      <c r="A31" s="59"/>
      <c r="B31" s="65"/>
      <c r="C31" s="68" t="s">
        <v>81</v>
      </c>
      <c r="D31" s="68"/>
      <c r="E31" s="68"/>
      <c r="F31" s="68"/>
      <c r="G31" s="68"/>
      <c r="H31" s="68"/>
      <c r="I31" s="170"/>
      <c r="J31" s="170"/>
      <c r="K31" s="170"/>
      <c r="L31" s="171"/>
    </row>
    <row r="32" spans="1:14" s="1" customFormat="1" ht="38.25" customHeight="1" x14ac:dyDescent="0.2">
      <c r="A32" s="59"/>
      <c r="B32" s="65"/>
      <c r="C32" s="68" t="s">
        <v>117</v>
      </c>
      <c r="D32" s="68"/>
      <c r="E32" s="68"/>
      <c r="F32" s="68"/>
      <c r="G32" s="68"/>
      <c r="H32" s="68"/>
      <c r="I32" s="170"/>
      <c r="J32" s="170"/>
      <c r="K32" s="170"/>
      <c r="L32" s="171"/>
    </row>
    <row r="33" spans="1:19" s="1" customFormat="1" ht="30.75" customHeight="1" x14ac:dyDescent="0.2">
      <c r="A33" s="59"/>
      <c r="B33" s="65"/>
      <c r="C33" s="70" t="s">
        <v>127</v>
      </c>
      <c r="D33" s="71"/>
      <c r="E33" s="71"/>
      <c r="F33" s="71"/>
      <c r="G33" s="71"/>
      <c r="H33" s="72"/>
      <c r="I33" s="170"/>
      <c r="J33" s="170"/>
      <c r="K33" s="170"/>
      <c r="L33" s="171"/>
    </row>
    <row r="34" spans="1:19" s="1" customFormat="1" ht="28.5" customHeight="1" thickBot="1" x14ac:dyDescent="0.25">
      <c r="A34" s="60"/>
      <c r="B34" s="66"/>
      <c r="C34" s="57" t="s">
        <v>103</v>
      </c>
      <c r="D34" s="57"/>
      <c r="E34" s="57"/>
      <c r="F34" s="57"/>
      <c r="G34" s="57"/>
      <c r="H34" s="57"/>
      <c r="I34" s="172"/>
      <c r="J34" s="172"/>
      <c r="K34" s="172"/>
      <c r="L34" s="173"/>
    </row>
    <row r="35" spans="1:19" s="1" customFormat="1" ht="28.5" customHeight="1" x14ac:dyDescent="0.2">
      <c r="A35" s="48"/>
      <c r="B35" s="110"/>
      <c r="C35" s="110"/>
      <c r="D35" s="110"/>
      <c r="E35" s="110"/>
      <c r="F35" s="110"/>
      <c r="G35" s="110"/>
      <c r="H35" s="110"/>
      <c r="I35" s="110"/>
      <c r="J35" s="110"/>
      <c r="K35" s="110"/>
      <c r="L35" s="110"/>
    </row>
    <row r="36" spans="1:19" s="1" customFormat="1" ht="28.5" customHeight="1" x14ac:dyDescent="0.2">
      <c r="A36" s="111" t="s">
        <v>89</v>
      </c>
      <c r="B36" s="111"/>
      <c r="C36" s="111"/>
      <c r="D36" s="111"/>
      <c r="E36" s="111"/>
      <c r="F36" s="111"/>
      <c r="G36" s="111"/>
      <c r="H36" s="111"/>
      <c r="I36" s="111"/>
      <c r="J36" s="111"/>
      <c r="K36" s="111"/>
      <c r="L36" s="111"/>
    </row>
    <row r="37" spans="1:19" s="1" customFormat="1" ht="28.5" customHeight="1" x14ac:dyDescent="0.2">
      <c r="A37" s="50" t="s">
        <v>133</v>
      </c>
      <c r="B37" s="112" t="s">
        <v>128</v>
      </c>
      <c r="C37" s="113"/>
      <c r="D37" s="113"/>
      <c r="E37" s="113"/>
      <c r="F37" s="113"/>
      <c r="G37" s="113"/>
      <c r="H37" s="113"/>
      <c r="I37" s="113"/>
      <c r="J37" s="113"/>
      <c r="K37" s="113"/>
      <c r="L37" s="113"/>
    </row>
    <row r="38" spans="1:19" s="1" customFormat="1" ht="28.5" customHeight="1" x14ac:dyDescent="0.2">
      <c r="A38" s="50" t="s">
        <v>134</v>
      </c>
      <c r="B38" s="112" t="s">
        <v>129</v>
      </c>
      <c r="C38" s="113"/>
      <c r="D38" s="113"/>
      <c r="E38" s="113"/>
      <c r="F38" s="113"/>
      <c r="G38" s="113"/>
      <c r="H38" s="113"/>
      <c r="I38" s="113"/>
      <c r="J38" s="113"/>
      <c r="K38" s="113"/>
      <c r="L38" s="113"/>
    </row>
    <row r="39" spans="1:19" s="1" customFormat="1" ht="28.5" customHeight="1" x14ac:dyDescent="0.2">
      <c r="A39" s="50" t="s">
        <v>135</v>
      </c>
      <c r="B39" s="112" t="s">
        <v>118</v>
      </c>
      <c r="C39" s="112"/>
      <c r="D39" s="112"/>
      <c r="E39" s="112"/>
      <c r="F39" s="112"/>
      <c r="G39" s="112"/>
      <c r="H39" s="112"/>
      <c r="I39" s="112"/>
      <c r="J39" s="112"/>
      <c r="K39" s="112"/>
      <c r="L39" s="112"/>
    </row>
    <row r="40" spans="1:19" s="1" customFormat="1" ht="28.5" customHeight="1" x14ac:dyDescent="0.2">
      <c r="A40" s="50" t="s">
        <v>136</v>
      </c>
      <c r="B40" s="112" t="s">
        <v>130</v>
      </c>
      <c r="C40" s="112"/>
      <c r="D40" s="112"/>
      <c r="E40" s="112"/>
      <c r="F40" s="112"/>
      <c r="G40" s="112"/>
      <c r="H40" s="112"/>
      <c r="I40" s="112"/>
      <c r="J40" s="112"/>
      <c r="K40" s="112"/>
      <c r="L40" s="112"/>
      <c r="N40" s="34"/>
    </row>
    <row r="41" spans="1:19" ht="27.75" customHeight="1" x14ac:dyDescent="0.2">
      <c r="A41" s="33"/>
      <c r="B41" s="89"/>
      <c r="C41" s="89"/>
      <c r="D41" s="89"/>
      <c r="E41" s="89"/>
      <c r="F41" s="89"/>
      <c r="G41" s="89"/>
      <c r="H41" s="89"/>
      <c r="I41" s="89"/>
      <c r="J41" s="89"/>
      <c r="K41" s="89"/>
      <c r="L41" s="89"/>
      <c r="N41" s="34"/>
      <c r="O41" s="34"/>
      <c r="P41" s="34"/>
      <c r="Q41" s="34"/>
      <c r="R41" s="34"/>
      <c r="S41" s="34"/>
    </row>
    <row r="42" spans="1:19" s="4" customFormat="1" ht="60" customHeight="1" x14ac:dyDescent="0.2">
      <c r="A42" s="152" t="s">
        <v>2</v>
      </c>
      <c r="B42" s="6" t="s">
        <v>151</v>
      </c>
      <c r="C42" s="153" t="s">
        <v>91</v>
      </c>
      <c r="D42" s="103"/>
      <c r="E42" s="154" t="s">
        <v>142</v>
      </c>
      <c r="F42" s="6" t="s">
        <v>131</v>
      </c>
      <c r="G42" s="6" t="s">
        <v>90</v>
      </c>
      <c r="H42" s="153" t="s">
        <v>93</v>
      </c>
      <c r="I42" s="155"/>
      <c r="J42" s="156" t="s">
        <v>94</v>
      </c>
      <c r="K42" s="157"/>
      <c r="L42" s="42" t="s">
        <v>92</v>
      </c>
      <c r="M42" s="164" t="s">
        <v>161</v>
      </c>
      <c r="N42" s="165" t="s">
        <v>162</v>
      </c>
      <c r="O42" s="43"/>
      <c r="P42" s="38"/>
      <c r="Q42" s="38"/>
    </row>
    <row r="43" spans="1:19" s="4" customFormat="1" ht="19.5" customHeight="1" x14ac:dyDescent="0.2">
      <c r="A43" s="160">
        <f>IF(ROW(A43)-42&lt;=$E$14,ROW(A43)-42,"")</f>
        <v>1</v>
      </c>
      <c r="B43" s="151" t="s">
        <v>197</v>
      </c>
      <c r="C43" s="166" t="s">
        <v>181</v>
      </c>
      <c r="D43" s="166"/>
      <c r="E43" s="167">
        <v>8.3000000000000007</v>
      </c>
      <c r="F43" s="167">
        <v>100</v>
      </c>
      <c r="G43" s="167">
        <v>15</v>
      </c>
      <c r="H43" s="168" t="s">
        <v>196</v>
      </c>
      <c r="I43" s="168"/>
      <c r="J43" s="168"/>
      <c r="K43" s="168"/>
      <c r="L43" s="167"/>
      <c r="M43" s="4">
        <v>0</v>
      </c>
      <c r="N43" s="162" t="str">
        <f>IF(M43&gt;0,IF(M43&lt;10,"Sample Name can have letters, numbers, and dash (-) only. No spaces or other characters please!","Sample Names must be unique!"),"")</f>
        <v/>
      </c>
      <c r="O43" s="43"/>
      <c r="P43" s="39"/>
      <c r="Q43" s="36"/>
    </row>
    <row r="44" spans="1:19" s="4" customFormat="1" ht="19.5" customHeight="1" x14ac:dyDescent="0.2">
      <c r="A44" s="160">
        <f t="shared" ref="A44:A107" si="0">IF(ROW(A44)-42&lt;=$E$14,ROW(A44)-42,"")</f>
        <v>2</v>
      </c>
      <c r="B44" s="151" t="s">
        <v>198</v>
      </c>
      <c r="C44" s="166" t="s">
        <v>182</v>
      </c>
      <c r="D44" s="166"/>
      <c r="E44" s="167">
        <v>8.5</v>
      </c>
      <c r="F44" s="167">
        <v>100</v>
      </c>
      <c r="G44" s="167">
        <v>15</v>
      </c>
      <c r="H44" s="168" t="s">
        <v>196</v>
      </c>
      <c r="I44" s="168"/>
      <c r="J44" s="168"/>
      <c r="K44" s="168"/>
      <c r="L44" s="167"/>
      <c r="M44" s="4">
        <v>0</v>
      </c>
      <c r="N44" s="162" t="str">
        <f t="shared" ref="N44:N107" si="1">IF(M44&gt;0,IF(M44&lt;10,"Sample Name can have letters, numbers, and dash (-) only. No spaces or other characters please!","Sample Names must be unique!"),"")</f>
        <v/>
      </c>
      <c r="O44" s="43"/>
      <c r="P44" s="39"/>
      <c r="Q44" s="36"/>
    </row>
    <row r="45" spans="1:19" s="4" customFormat="1" ht="19.5" customHeight="1" x14ac:dyDescent="0.2">
      <c r="A45" s="160">
        <f t="shared" si="0"/>
        <v>3</v>
      </c>
      <c r="B45" s="151" t="s">
        <v>199</v>
      </c>
      <c r="C45" s="166" t="s">
        <v>183</v>
      </c>
      <c r="D45" s="166"/>
      <c r="E45" s="167">
        <v>9</v>
      </c>
      <c r="F45" s="167">
        <v>100</v>
      </c>
      <c r="G45" s="167">
        <v>15</v>
      </c>
      <c r="H45" s="168" t="s">
        <v>196</v>
      </c>
      <c r="I45" s="168"/>
      <c r="J45" s="168"/>
      <c r="K45" s="168"/>
      <c r="L45" s="167"/>
      <c r="M45" s="4">
        <v>0</v>
      </c>
      <c r="N45" s="162" t="str">
        <f t="shared" si="1"/>
        <v/>
      </c>
      <c r="O45" s="43"/>
      <c r="P45" s="39"/>
      <c r="Q45" s="36"/>
    </row>
    <row r="46" spans="1:19" s="4" customFormat="1" ht="19.5" customHeight="1" x14ac:dyDescent="0.2">
      <c r="A46" s="160">
        <f t="shared" si="0"/>
        <v>4</v>
      </c>
      <c r="B46" s="151" t="s">
        <v>200</v>
      </c>
      <c r="C46" s="166" t="s">
        <v>184</v>
      </c>
      <c r="D46" s="166"/>
      <c r="E46" s="167">
        <v>8.4</v>
      </c>
      <c r="F46" s="167">
        <v>100</v>
      </c>
      <c r="G46" s="167">
        <v>15</v>
      </c>
      <c r="H46" s="168" t="s">
        <v>193</v>
      </c>
      <c r="I46" s="168"/>
      <c r="J46" s="168"/>
      <c r="K46" s="168"/>
      <c r="L46" s="167"/>
      <c r="M46" s="4">
        <v>0</v>
      </c>
      <c r="N46" s="162" t="str">
        <f t="shared" si="1"/>
        <v/>
      </c>
      <c r="O46" s="43"/>
      <c r="P46" s="39"/>
      <c r="Q46" s="36"/>
    </row>
    <row r="47" spans="1:19" s="4" customFormat="1" ht="19.5" customHeight="1" x14ac:dyDescent="0.2">
      <c r="A47" s="160">
        <f t="shared" si="0"/>
        <v>5</v>
      </c>
      <c r="B47" s="151" t="s">
        <v>201</v>
      </c>
      <c r="C47" s="166" t="s">
        <v>186</v>
      </c>
      <c r="D47" s="166"/>
      <c r="E47" s="167">
        <v>7.8</v>
      </c>
      <c r="F47" s="167">
        <v>100</v>
      </c>
      <c r="G47" s="167">
        <v>15</v>
      </c>
      <c r="H47" s="168" t="s">
        <v>193</v>
      </c>
      <c r="I47" s="168"/>
      <c r="J47" s="168"/>
      <c r="K47" s="168"/>
      <c r="L47" s="167"/>
      <c r="M47" s="4">
        <v>0</v>
      </c>
      <c r="N47" s="162" t="str">
        <f t="shared" si="1"/>
        <v/>
      </c>
      <c r="O47" s="43"/>
      <c r="P47" s="39"/>
      <c r="Q47" s="36"/>
    </row>
    <row r="48" spans="1:19" s="4" customFormat="1" ht="19.5" customHeight="1" x14ac:dyDescent="0.2">
      <c r="A48" s="160">
        <f t="shared" si="0"/>
        <v>6</v>
      </c>
      <c r="B48" s="151" t="s">
        <v>202</v>
      </c>
      <c r="C48" s="166" t="s">
        <v>185</v>
      </c>
      <c r="D48" s="166"/>
      <c r="E48" s="167">
        <v>9</v>
      </c>
      <c r="F48" s="167">
        <v>100</v>
      </c>
      <c r="G48" s="167">
        <v>15</v>
      </c>
      <c r="H48" s="168" t="s">
        <v>193</v>
      </c>
      <c r="I48" s="168"/>
      <c r="J48" s="168"/>
      <c r="K48" s="168"/>
      <c r="L48" s="167"/>
      <c r="M48" s="4">
        <v>0</v>
      </c>
      <c r="N48" s="162" t="str">
        <f t="shared" si="1"/>
        <v/>
      </c>
      <c r="O48" s="43"/>
      <c r="P48" s="39"/>
      <c r="Q48" s="36"/>
    </row>
    <row r="49" spans="1:17" s="4" customFormat="1" ht="19.5" customHeight="1" x14ac:dyDescent="0.2">
      <c r="A49" s="160">
        <f t="shared" si="0"/>
        <v>7</v>
      </c>
      <c r="B49" s="151" t="s">
        <v>203</v>
      </c>
      <c r="C49" s="166" t="s">
        <v>187</v>
      </c>
      <c r="D49" s="166"/>
      <c r="E49" s="167">
        <v>9.3000000000000007</v>
      </c>
      <c r="F49" s="167">
        <v>100</v>
      </c>
      <c r="G49" s="167">
        <v>15</v>
      </c>
      <c r="H49" s="168" t="s">
        <v>194</v>
      </c>
      <c r="I49" s="168"/>
      <c r="J49" s="168"/>
      <c r="K49" s="168"/>
      <c r="L49" s="167"/>
      <c r="M49" s="4">
        <v>0</v>
      </c>
      <c r="N49" s="162" t="str">
        <f t="shared" si="1"/>
        <v/>
      </c>
      <c r="O49" s="43"/>
      <c r="P49" s="39"/>
      <c r="Q49" s="36"/>
    </row>
    <row r="50" spans="1:17" s="4" customFormat="1" ht="19.5" customHeight="1" x14ac:dyDescent="0.2">
      <c r="A50" s="160">
        <f t="shared" si="0"/>
        <v>8</v>
      </c>
      <c r="B50" s="151" t="s">
        <v>204</v>
      </c>
      <c r="C50" s="166" t="s">
        <v>188</v>
      </c>
      <c r="D50" s="166"/>
      <c r="E50" s="167">
        <v>8.1999999999999993</v>
      </c>
      <c r="F50" s="167">
        <v>100</v>
      </c>
      <c r="G50" s="167">
        <v>15</v>
      </c>
      <c r="H50" s="168" t="s">
        <v>194</v>
      </c>
      <c r="I50" s="168"/>
      <c r="J50" s="168"/>
      <c r="K50" s="168"/>
      <c r="L50" s="167"/>
      <c r="M50" s="4">
        <v>0</v>
      </c>
      <c r="N50" s="162" t="str">
        <f t="shared" si="1"/>
        <v/>
      </c>
      <c r="O50" s="43"/>
      <c r="P50" s="39"/>
      <c r="Q50" s="36"/>
    </row>
    <row r="51" spans="1:17" s="4" customFormat="1" ht="19.5" customHeight="1" x14ac:dyDescent="0.2">
      <c r="A51" s="160">
        <f t="shared" si="0"/>
        <v>9</v>
      </c>
      <c r="B51" s="151" t="s">
        <v>205</v>
      </c>
      <c r="C51" s="166" t="s">
        <v>189</v>
      </c>
      <c r="D51" s="166"/>
      <c r="E51" s="167">
        <v>8.5</v>
      </c>
      <c r="F51" s="167">
        <v>100</v>
      </c>
      <c r="G51" s="167">
        <v>15</v>
      </c>
      <c r="H51" s="168" t="s">
        <v>194</v>
      </c>
      <c r="I51" s="168"/>
      <c r="J51" s="168"/>
      <c r="K51" s="168"/>
      <c r="L51" s="167"/>
      <c r="M51" s="4">
        <v>0</v>
      </c>
      <c r="N51" s="162" t="str">
        <f t="shared" si="1"/>
        <v/>
      </c>
      <c r="O51" s="43"/>
      <c r="P51" s="39"/>
      <c r="Q51" s="36"/>
    </row>
    <row r="52" spans="1:17" s="4" customFormat="1" ht="19.5" customHeight="1" x14ac:dyDescent="0.2">
      <c r="A52" s="160">
        <f t="shared" si="0"/>
        <v>10</v>
      </c>
      <c r="B52" s="151" t="s">
        <v>206</v>
      </c>
      <c r="C52" s="166" t="s">
        <v>190</v>
      </c>
      <c r="D52" s="166"/>
      <c r="E52" s="167">
        <v>9.1</v>
      </c>
      <c r="F52" s="167">
        <v>100</v>
      </c>
      <c r="G52" s="167">
        <v>15</v>
      </c>
      <c r="H52" s="168" t="s">
        <v>195</v>
      </c>
      <c r="I52" s="168"/>
      <c r="J52" s="168"/>
      <c r="K52" s="168"/>
      <c r="L52" s="167"/>
      <c r="M52" s="4">
        <v>0</v>
      </c>
      <c r="N52" s="162" t="str">
        <f t="shared" si="1"/>
        <v/>
      </c>
      <c r="O52" s="43"/>
      <c r="P52" s="39"/>
      <c r="Q52" s="36"/>
    </row>
    <row r="53" spans="1:17" ht="19.5" customHeight="1" x14ac:dyDescent="0.2">
      <c r="A53" s="160">
        <f t="shared" si="0"/>
        <v>11</v>
      </c>
      <c r="B53" s="151" t="s">
        <v>207</v>
      </c>
      <c r="C53" s="166" t="s">
        <v>191</v>
      </c>
      <c r="D53" s="166"/>
      <c r="E53" s="216">
        <v>8.6999999999999993</v>
      </c>
      <c r="F53" s="216">
        <v>100</v>
      </c>
      <c r="G53" s="216">
        <v>15</v>
      </c>
      <c r="H53" s="168" t="s">
        <v>195</v>
      </c>
      <c r="I53" s="168"/>
      <c r="J53" s="168"/>
      <c r="K53" s="168"/>
      <c r="L53" s="169"/>
      <c r="M53" s="4">
        <v>0</v>
      </c>
      <c r="N53" s="162" t="str">
        <f t="shared" si="1"/>
        <v/>
      </c>
      <c r="O53" s="46"/>
      <c r="P53" s="39"/>
      <c r="Q53" s="36"/>
    </row>
    <row r="54" spans="1:17" ht="19.5" customHeight="1" x14ac:dyDescent="0.2">
      <c r="A54" s="160">
        <f t="shared" si="0"/>
        <v>12</v>
      </c>
      <c r="B54" s="151" t="s">
        <v>208</v>
      </c>
      <c r="C54" s="166" t="s">
        <v>192</v>
      </c>
      <c r="D54" s="166"/>
      <c r="E54" s="216">
        <v>7.8</v>
      </c>
      <c r="F54" s="216">
        <v>100</v>
      </c>
      <c r="G54" s="216">
        <v>15</v>
      </c>
      <c r="H54" s="168" t="s">
        <v>195</v>
      </c>
      <c r="I54" s="168"/>
      <c r="J54" s="168"/>
      <c r="K54" s="168"/>
      <c r="L54" s="169"/>
      <c r="M54" s="4">
        <v>0</v>
      </c>
      <c r="N54" s="162" t="str">
        <f t="shared" si="1"/>
        <v/>
      </c>
      <c r="O54" s="46"/>
      <c r="P54" s="39"/>
      <c r="Q54" s="36"/>
    </row>
    <row r="55" spans="1:17" ht="19.5" customHeight="1" x14ac:dyDescent="0.2">
      <c r="A55" s="160" t="str">
        <f t="shared" si="0"/>
        <v/>
      </c>
      <c r="B55" s="151" t="s">
        <v>209</v>
      </c>
      <c r="C55" s="166"/>
      <c r="D55" s="166"/>
      <c r="E55" s="216"/>
      <c r="F55" s="216"/>
      <c r="G55" s="216"/>
      <c r="H55" s="168"/>
      <c r="I55" s="168"/>
      <c r="J55" s="168"/>
      <c r="K55" s="168"/>
      <c r="L55" s="169"/>
      <c r="M55" s="4">
        <v>0</v>
      </c>
      <c r="N55" s="162" t="str">
        <f t="shared" si="1"/>
        <v/>
      </c>
      <c r="O55" s="46"/>
      <c r="P55" s="39"/>
      <c r="Q55" s="36"/>
    </row>
    <row r="56" spans="1:17" ht="19.5" customHeight="1" x14ac:dyDescent="0.2">
      <c r="A56" s="160" t="str">
        <f t="shared" si="0"/>
        <v/>
      </c>
      <c r="B56" s="151" t="s">
        <v>209</v>
      </c>
      <c r="C56" s="166"/>
      <c r="D56" s="166"/>
      <c r="E56" s="216"/>
      <c r="F56" s="216"/>
      <c r="G56" s="216"/>
      <c r="H56" s="168"/>
      <c r="I56" s="168"/>
      <c r="J56" s="168"/>
      <c r="K56" s="168"/>
      <c r="L56" s="169"/>
      <c r="M56" s="4">
        <v>0</v>
      </c>
      <c r="N56" s="162" t="str">
        <f t="shared" si="1"/>
        <v/>
      </c>
      <c r="O56" s="46"/>
      <c r="P56" s="39"/>
      <c r="Q56" s="36"/>
    </row>
    <row r="57" spans="1:17" ht="19.5" customHeight="1" x14ac:dyDescent="0.2">
      <c r="A57" s="160" t="str">
        <f t="shared" si="0"/>
        <v/>
      </c>
      <c r="B57" s="151" t="s">
        <v>209</v>
      </c>
      <c r="C57" s="166"/>
      <c r="D57" s="166"/>
      <c r="E57" s="216"/>
      <c r="F57" s="216"/>
      <c r="G57" s="216"/>
      <c r="H57" s="168"/>
      <c r="I57" s="168"/>
      <c r="J57" s="168"/>
      <c r="K57" s="168"/>
      <c r="L57" s="169"/>
      <c r="M57" s="4">
        <v>0</v>
      </c>
      <c r="N57" s="162" t="str">
        <f t="shared" si="1"/>
        <v/>
      </c>
      <c r="O57" s="46"/>
      <c r="P57" s="39"/>
      <c r="Q57" s="36"/>
    </row>
    <row r="58" spans="1:17" ht="19.5" customHeight="1" x14ac:dyDescent="0.2">
      <c r="A58" s="160" t="str">
        <f t="shared" si="0"/>
        <v/>
      </c>
      <c r="B58" s="151" t="s">
        <v>209</v>
      </c>
      <c r="C58" s="166"/>
      <c r="D58" s="166"/>
      <c r="E58" s="216"/>
      <c r="F58" s="216"/>
      <c r="G58" s="216"/>
      <c r="H58" s="168"/>
      <c r="I58" s="168"/>
      <c r="J58" s="168"/>
      <c r="K58" s="168"/>
      <c r="L58" s="169"/>
      <c r="M58" s="4">
        <v>0</v>
      </c>
      <c r="N58" s="162" t="str">
        <f t="shared" si="1"/>
        <v/>
      </c>
      <c r="O58" s="46"/>
      <c r="P58" s="39"/>
      <c r="Q58" s="36"/>
    </row>
    <row r="59" spans="1:17" ht="19.5" customHeight="1" x14ac:dyDescent="0.2">
      <c r="A59" s="160" t="str">
        <f t="shared" si="0"/>
        <v/>
      </c>
      <c r="B59" s="151" t="s">
        <v>209</v>
      </c>
      <c r="C59" s="166"/>
      <c r="D59" s="166"/>
      <c r="E59" s="216"/>
      <c r="F59" s="216"/>
      <c r="G59" s="216"/>
      <c r="H59" s="168"/>
      <c r="I59" s="168"/>
      <c r="J59" s="168"/>
      <c r="K59" s="168"/>
      <c r="L59" s="169"/>
      <c r="M59" s="4">
        <v>0</v>
      </c>
      <c r="N59" s="162" t="str">
        <f t="shared" si="1"/>
        <v/>
      </c>
      <c r="O59" s="46"/>
      <c r="P59" s="39"/>
      <c r="Q59" s="36"/>
    </row>
    <row r="60" spans="1:17" ht="19.5" customHeight="1" x14ac:dyDescent="0.2">
      <c r="A60" s="160" t="str">
        <f t="shared" si="0"/>
        <v/>
      </c>
      <c r="B60" s="151" t="s">
        <v>209</v>
      </c>
      <c r="C60" s="166"/>
      <c r="D60" s="166"/>
      <c r="E60" s="216"/>
      <c r="F60" s="216"/>
      <c r="G60" s="216"/>
      <c r="H60" s="168"/>
      <c r="I60" s="168"/>
      <c r="J60" s="168"/>
      <c r="K60" s="168"/>
      <c r="L60" s="169"/>
      <c r="M60" s="4">
        <v>0</v>
      </c>
      <c r="N60" s="162" t="str">
        <f t="shared" si="1"/>
        <v/>
      </c>
      <c r="O60" s="46"/>
      <c r="P60" s="39"/>
      <c r="Q60" s="36"/>
    </row>
    <row r="61" spans="1:17" ht="19.5" customHeight="1" x14ac:dyDescent="0.2">
      <c r="A61" s="160" t="str">
        <f t="shared" si="0"/>
        <v/>
      </c>
      <c r="B61" s="151" t="s">
        <v>209</v>
      </c>
      <c r="C61" s="166"/>
      <c r="D61" s="166"/>
      <c r="E61" s="216"/>
      <c r="F61" s="216"/>
      <c r="G61" s="216"/>
      <c r="H61" s="168"/>
      <c r="I61" s="168"/>
      <c r="J61" s="168"/>
      <c r="K61" s="168"/>
      <c r="L61" s="169"/>
      <c r="M61" s="4">
        <v>0</v>
      </c>
      <c r="N61" s="162" t="str">
        <f t="shared" si="1"/>
        <v/>
      </c>
      <c r="O61" s="46"/>
      <c r="P61" s="39"/>
      <c r="Q61" s="36"/>
    </row>
    <row r="62" spans="1:17" ht="19.5" customHeight="1" x14ac:dyDescent="0.2">
      <c r="A62" s="160" t="str">
        <f t="shared" si="0"/>
        <v/>
      </c>
      <c r="B62" s="151" t="s">
        <v>209</v>
      </c>
      <c r="C62" s="166"/>
      <c r="D62" s="166"/>
      <c r="E62" s="216"/>
      <c r="F62" s="216"/>
      <c r="G62" s="216"/>
      <c r="H62" s="168"/>
      <c r="I62" s="168"/>
      <c r="J62" s="168"/>
      <c r="K62" s="168"/>
      <c r="L62" s="169"/>
      <c r="M62" s="4">
        <v>0</v>
      </c>
      <c r="N62" s="162" t="str">
        <f t="shared" si="1"/>
        <v/>
      </c>
      <c r="O62" s="46"/>
      <c r="P62" s="39"/>
      <c r="Q62" s="36"/>
    </row>
    <row r="63" spans="1:17" ht="19.5" customHeight="1" x14ac:dyDescent="0.2">
      <c r="A63" s="160" t="str">
        <f t="shared" si="0"/>
        <v/>
      </c>
      <c r="B63" s="151" t="s">
        <v>209</v>
      </c>
      <c r="C63" s="166"/>
      <c r="D63" s="166"/>
      <c r="E63" s="216"/>
      <c r="F63" s="216"/>
      <c r="G63" s="216"/>
      <c r="H63" s="168"/>
      <c r="I63" s="168"/>
      <c r="J63" s="168"/>
      <c r="K63" s="168"/>
      <c r="L63" s="169"/>
      <c r="M63" s="4">
        <v>0</v>
      </c>
      <c r="N63" s="162" t="str">
        <f t="shared" si="1"/>
        <v/>
      </c>
      <c r="O63" s="46"/>
      <c r="P63" s="39"/>
      <c r="Q63" s="36"/>
    </row>
    <row r="64" spans="1:17" ht="19.5" customHeight="1" x14ac:dyDescent="0.2">
      <c r="A64" s="160" t="str">
        <f t="shared" si="0"/>
        <v/>
      </c>
      <c r="B64" s="151" t="s">
        <v>209</v>
      </c>
      <c r="C64" s="166"/>
      <c r="D64" s="166"/>
      <c r="E64" s="216"/>
      <c r="F64" s="216"/>
      <c r="G64" s="216"/>
      <c r="H64" s="168"/>
      <c r="I64" s="168"/>
      <c r="J64" s="168"/>
      <c r="K64" s="168"/>
      <c r="L64" s="169"/>
      <c r="M64" s="4">
        <v>0</v>
      </c>
      <c r="N64" s="162" t="str">
        <f t="shared" si="1"/>
        <v/>
      </c>
      <c r="O64" s="46"/>
      <c r="P64" s="39"/>
      <c r="Q64" s="36"/>
    </row>
    <row r="65" spans="1:17" ht="19.5" customHeight="1" x14ac:dyDescent="0.2">
      <c r="A65" s="160" t="str">
        <f t="shared" si="0"/>
        <v/>
      </c>
      <c r="B65" s="151" t="s">
        <v>209</v>
      </c>
      <c r="C65" s="166"/>
      <c r="D65" s="166"/>
      <c r="E65" s="216"/>
      <c r="F65" s="216"/>
      <c r="G65" s="216"/>
      <c r="H65" s="168"/>
      <c r="I65" s="168"/>
      <c r="J65" s="168"/>
      <c r="K65" s="168"/>
      <c r="L65" s="169"/>
      <c r="M65" s="4">
        <v>0</v>
      </c>
      <c r="N65" s="162" t="str">
        <f t="shared" si="1"/>
        <v/>
      </c>
      <c r="O65" s="46"/>
      <c r="P65" s="39"/>
      <c r="Q65" s="36"/>
    </row>
    <row r="66" spans="1:17" ht="19.5" customHeight="1" x14ac:dyDescent="0.2">
      <c r="A66" s="160" t="str">
        <f t="shared" si="0"/>
        <v/>
      </c>
      <c r="B66" s="151" t="s">
        <v>209</v>
      </c>
      <c r="C66" s="166"/>
      <c r="D66" s="166"/>
      <c r="E66" s="216"/>
      <c r="F66" s="216"/>
      <c r="G66" s="216"/>
      <c r="H66" s="168"/>
      <c r="I66" s="168"/>
      <c r="J66" s="168"/>
      <c r="K66" s="168"/>
      <c r="L66" s="169"/>
      <c r="M66" s="4">
        <v>0</v>
      </c>
      <c r="N66" s="162" t="str">
        <f t="shared" si="1"/>
        <v/>
      </c>
      <c r="O66" s="46"/>
      <c r="P66" s="39"/>
      <c r="Q66" s="36"/>
    </row>
    <row r="67" spans="1:17" ht="19.5" customHeight="1" x14ac:dyDescent="0.2">
      <c r="A67" s="160" t="str">
        <f t="shared" si="0"/>
        <v/>
      </c>
      <c r="B67" s="151" t="s">
        <v>209</v>
      </c>
      <c r="C67" s="166"/>
      <c r="D67" s="166"/>
      <c r="E67" s="216"/>
      <c r="F67" s="216"/>
      <c r="G67" s="216"/>
      <c r="H67" s="168"/>
      <c r="I67" s="168"/>
      <c r="J67" s="168"/>
      <c r="K67" s="168"/>
      <c r="L67" s="169"/>
      <c r="M67" s="4">
        <v>0</v>
      </c>
      <c r="N67" s="162" t="str">
        <f t="shared" si="1"/>
        <v/>
      </c>
      <c r="O67" s="46"/>
      <c r="P67" s="39"/>
      <c r="Q67" s="36"/>
    </row>
    <row r="68" spans="1:17" ht="19.5" customHeight="1" x14ac:dyDescent="0.2">
      <c r="A68" s="160" t="str">
        <f t="shared" si="0"/>
        <v/>
      </c>
      <c r="B68" s="151" t="s">
        <v>209</v>
      </c>
      <c r="C68" s="166"/>
      <c r="D68" s="166"/>
      <c r="E68" s="216"/>
      <c r="F68" s="216"/>
      <c r="G68" s="216"/>
      <c r="H68" s="168"/>
      <c r="I68" s="168"/>
      <c r="J68" s="168"/>
      <c r="K68" s="168"/>
      <c r="L68" s="169"/>
      <c r="M68" s="4">
        <v>0</v>
      </c>
      <c r="N68" s="162" t="str">
        <f t="shared" si="1"/>
        <v/>
      </c>
      <c r="O68" s="46"/>
      <c r="P68" s="39"/>
      <c r="Q68" s="36"/>
    </row>
    <row r="69" spans="1:17" ht="19.5" customHeight="1" x14ac:dyDescent="0.2">
      <c r="A69" s="160" t="str">
        <f t="shared" si="0"/>
        <v/>
      </c>
      <c r="B69" s="151" t="s">
        <v>209</v>
      </c>
      <c r="C69" s="166"/>
      <c r="D69" s="166"/>
      <c r="E69" s="216"/>
      <c r="F69" s="216"/>
      <c r="G69" s="216"/>
      <c r="H69" s="168"/>
      <c r="I69" s="168"/>
      <c r="J69" s="168"/>
      <c r="K69" s="168"/>
      <c r="L69" s="169"/>
      <c r="M69" s="4">
        <v>0</v>
      </c>
      <c r="N69" s="162" t="str">
        <f t="shared" si="1"/>
        <v/>
      </c>
      <c r="O69" s="46"/>
      <c r="P69" s="39"/>
      <c r="Q69" s="36"/>
    </row>
    <row r="70" spans="1:17" ht="19.5" customHeight="1" x14ac:dyDescent="0.2">
      <c r="A70" s="160" t="str">
        <f t="shared" si="0"/>
        <v/>
      </c>
      <c r="B70" s="151" t="s">
        <v>209</v>
      </c>
      <c r="C70" s="166"/>
      <c r="D70" s="166"/>
      <c r="E70" s="216"/>
      <c r="F70" s="216"/>
      <c r="G70" s="216"/>
      <c r="H70" s="168"/>
      <c r="I70" s="168"/>
      <c r="J70" s="168"/>
      <c r="K70" s="168"/>
      <c r="L70" s="169"/>
      <c r="M70" s="4">
        <v>0</v>
      </c>
      <c r="N70" s="162" t="str">
        <f t="shared" si="1"/>
        <v/>
      </c>
      <c r="O70" s="46"/>
      <c r="P70" s="39"/>
      <c r="Q70" s="36"/>
    </row>
    <row r="71" spans="1:17" ht="19.5" customHeight="1" x14ac:dyDescent="0.2">
      <c r="A71" s="160" t="str">
        <f t="shared" si="0"/>
        <v/>
      </c>
      <c r="B71" s="151" t="s">
        <v>209</v>
      </c>
      <c r="C71" s="166"/>
      <c r="D71" s="166"/>
      <c r="E71" s="216"/>
      <c r="F71" s="216"/>
      <c r="G71" s="216"/>
      <c r="H71" s="168"/>
      <c r="I71" s="168"/>
      <c r="J71" s="168"/>
      <c r="K71" s="168"/>
      <c r="L71" s="169"/>
      <c r="M71" s="4">
        <v>0</v>
      </c>
      <c r="N71" s="162" t="str">
        <f t="shared" si="1"/>
        <v/>
      </c>
      <c r="O71" s="46"/>
      <c r="P71" s="39"/>
      <c r="Q71" s="36"/>
    </row>
    <row r="72" spans="1:17" ht="19.5" customHeight="1" x14ac:dyDescent="0.2">
      <c r="A72" s="160" t="str">
        <f t="shared" si="0"/>
        <v/>
      </c>
      <c r="B72" s="151" t="s">
        <v>209</v>
      </c>
      <c r="C72" s="166"/>
      <c r="D72" s="166"/>
      <c r="E72" s="216"/>
      <c r="F72" s="216"/>
      <c r="G72" s="216"/>
      <c r="H72" s="168"/>
      <c r="I72" s="168"/>
      <c r="J72" s="168"/>
      <c r="K72" s="168"/>
      <c r="L72" s="169"/>
      <c r="M72" s="4">
        <v>0</v>
      </c>
      <c r="N72" s="162" t="str">
        <f t="shared" si="1"/>
        <v/>
      </c>
      <c r="O72" s="46"/>
      <c r="P72" s="39"/>
      <c r="Q72" s="36"/>
    </row>
    <row r="73" spans="1:17" ht="19.5" customHeight="1" x14ac:dyDescent="0.2">
      <c r="A73" s="160" t="str">
        <f t="shared" si="0"/>
        <v/>
      </c>
      <c r="B73" s="151" t="s">
        <v>209</v>
      </c>
      <c r="C73" s="166"/>
      <c r="D73" s="166"/>
      <c r="E73" s="216"/>
      <c r="F73" s="216"/>
      <c r="G73" s="216"/>
      <c r="H73" s="168"/>
      <c r="I73" s="168"/>
      <c r="J73" s="168"/>
      <c r="K73" s="168"/>
      <c r="L73" s="169"/>
      <c r="M73" s="4">
        <v>0</v>
      </c>
      <c r="N73" s="162" t="str">
        <f t="shared" si="1"/>
        <v/>
      </c>
      <c r="O73" s="46"/>
      <c r="P73" s="39"/>
      <c r="Q73" s="36"/>
    </row>
    <row r="74" spans="1:17" ht="19.5" customHeight="1" x14ac:dyDescent="0.2">
      <c r="A74" s="160" t="str">
        <f t="shared" si="0"/>
        <v/>
      </c>
      <c r="B74" s="151" t="s">
        <v>209</v>
      </c>
      <c r="C74" s="166"/>
      <c r="D74" s="166"/>
      <c r="E74" s="216"/>
      <c r="F74" s="216"/>
      <c r="G74" s="216"/>
      <c r="H74" s="168"/>
      <c r="I74" s="168"/>
      <c r="J74" s="168"/>
      <c r="K74" s="168"/>
      <c r="L74" s="169"/>
      <c r="M74" s="4">
        <v>0</v>
      </c>
      <c r="N74" s="162" t="str">
        <f t="shared" si="1"/>
        <v/>
      </c>
      <c r="O74" s="46"/>
      <c r="P74" s="39"/>
      <c r="Q74" s="36"/>
    </row>
    <row r="75" spans="1:17" ht="19.5" customHeight="1" x14ac:dyDescent="0.2">
      <c r="A75" s="160" t="str">
        <f t="shared" si="0"/>
        <v/>
      </c>
      <c r="B75" s="151" t="s">
        <v>209</v>
      </c>
      <c r="C75" s="166"/>
      <c r="D75" s="166"/>
      <c r="E75" s="216"/>
      <c r="F75" s="216"/>
      <c r="G75" s="216"/>
      <c r="H75" s="168"/>
      <c r="I75" s="168"/>
      <c r="J75" s="168"/>
      <c r="K75" s="168"/>
      <c r="L75" s="169"/>
      <c r="M75" s="4">
        <v>0</v>
      </c>
      <c r="N75" s="162" t="str">
        <f t="shared" si="1"/>
        <v/>
      </c>
      <c r="O75" s="46"/>
      <c r="P75" s="39"/>
      <c r="Q75" s="36"/>
    </row>
    <row r="76" spans="1:17" ht="19.5" customHeight="1" x14ac:dyDescent="0.2">
      <c r="A76" s="160" t="str">
        <f t="shared" si="0"/>
        <v/>
      </c>
      <c r="B76" s="151" t="s">
        <v>209</v>
      </c>
      <c r="C76" s="166"/>
      <c r="D76" s="166"/>
      <c r="E76" s="216"/>
      <c r="F76" s="216"/>
      <c r="G76" s="216"/>
      <c r="H76" s="168"/>
      <c r="I76" s="168"/>
      <c r="J76" s="168"/>
      <c r="K76" s="168"/>
      <c r="L76" s="169"/>
      <c r="M76" s="4">
        <v>0</v>
      </c>
      <c r="N76" s="162" t="str">
        <f t="shared" si="1"/>
        <v/>
      </c>
      <c r="O76" s="46"/>
      <c r="P76" s="39"/>
      <c r="Q76" s="36"/>
    </row>
    <row r="77" spans="1:17" ht="19.5" customHeight="1" x14ac:dyDescent="0.2">
      <c r="A77" s="160" t="str">
        <f t="shared" si="0"/>
        <v/>
      </c>
      <c r="B77" s="151" t="s">
        <v>209</v>
      </c>
      <c r="C77" s="166"/>
      <c r="D77" s="166"/>
      <c r="E77" s="216"/>
      <c r="F77" s="216"/>
      <c r="G77" s="216"/>
      <c r="H77" s="168"/>
      <c r="I77" s="168"/>
      <c r="J77" s="168"/>
      <c r="K77" s="168"/>
      <c r="L77" s="169"/>
      <c r="M77" s="4">
        <v>0</v>
      </c>
      <c r="N77" s="162" t="str">
        <f t="shared" si="1"/>
        <v/>
      </c>
      <c r="O77" s="46"/>
      <c r="P77" s="39"/>
      <c r="Q77" s="36"/>
    </row>
    <row r="78" spans="1:17" ht="19.5" customHeight="1" x14ac:dyDescent="0.2">
      <c r="A78" s="160" t="str">
        <f t="shared" si="0"/>
        <v/>
      </c>
      <c r="B78" s="151" t="s">
        <v>209</v>
      </c>
      <c r="C78" s="166"/>
      <c r="D78" s="166"/>
      <c r="E78" s="216"/>
      <c r="F78" s="216"/>
      <c r="G78" s="216"/>
      <c r="H78" s="168"/>
      <c r="I78" s="168"/>
      <c r="J78" s="168"/>
      <c r="K78" s="168"/>
      <c r="L78" s="169"/>
      <c r="M78" s="4">
        <v>0</v>
      </c>
      <c r="N78" s="162" t="str">
        <f t="shared" si="1"/>
        <v/>
      </c>
      <c r="O78" s="46"/>
      <c r="P78" s="39"/>
      <c r="Q78" s="36"/>
    </row>
    <row r="79" spans="1:17" ht="19.5" customHeight="1" x14ac:dyDescent="0.2">
      <c r="A79" s="160" t="str">
        <f t="shared" si="0"/>
        <v/>
      </c>
      <c r="B79" s="151" t="s">
        <v>209</v>
      </c>
      <c r="C79" s="166"/>
      <c r="D79" s="166"/>
      <c r="E79" s="216"/>
      <c r="F79" s="216"/>
      <c r="G79" s="216"/>
      <c r="H79" s="168"/>
      <c r="I79" s="168"/>
      <c r="J79" s="168"/>
      <c r="K79" s="168"/>
      <c r="L79" s="169"/>
      <c r="M79" s="4">
        <v>0</v>
      </c>
      <c r="N79" s="162" t="str">
        <f t="shared" si="1"/>
        <v/>
      </c>
      <c r="O79" s="46"/>
      <c r="P79" s="39"/>
      <c r="Q79" s="36"/>
    </row>
    <row r="80" spans="1:17" ht="19.5" customHeight="1" x14ac:dyDescent="0.2">
      <c r="A80" s="160" t="str">
        <f t="shared" si="0"/>
        <v/>
      </c>
      <c r="B80" s="151" t="s">
        <v>209</v>
      </c>
      <c r="C80" s="166"/>
      <c r="D80" s="166"/>
      <c r="E80" s="216"/>
      <c r="F80" s="216"/>
      <c r="G80" s="216"/>
      <c r="H80" s="168"/>
      <c r="I80" s="168"/>
      <c r="J80" s="168"/>
      <c r="K80" s="168"/>
      <c r="L80" s="169"/>
      <c r="M80" s="4">
        <v>0</v>
      </c>
      <c r="N80" s="162" t="str">
        <f t="shared" si="1"/>
        <v/>
      </c>
      <c r="O80" s="46"/>
      <c r="P80" s="39"/>
      <c r="Q80" s="36"/>
    </row>
    <row r="81" spans="1:17" ht="19.5" customHeight="1" x14ac:dyDescent="0.2">
      <c r="A81" s="160" t="str">
        <f t="shared" si="0"/>
        <v/>
      </c>
      <c r="B81" s="151" t="s">
        <v>209</v>
      </c>
      <c r="C81" s="166"/>
      <c r="D81" s="166"/>
      <c r="E81" s="216"/>
      <c r="F81" s="216"/>
      <c r="G81" s="216"/>
      <c r="H81" s="168"/>
      <c r="I81" s="168"/>
      <c r="J81" s="168"/>
      <c r="K81" s="168"/>
      <c r="L81" s="169"/>
      <c r="M81" s="4">
        <v>0</v>
      </c>
      <c r="N81" s="162" t="str">
        <f t="shared" si="1"/>
        <v/>
      </c>
      <c r="O81" s="46"/>
      <c r="P81" s="39"/>
      <c r="Q81" s="36"/>
    </row>
    <row r="82" spans="1:17" ht="19.5" customHeight="1" x14ac:dyDescent="0.2">
      <c r="A82" s="160" t="str">
        <f t="shared" si="0"/>
        <v/>
      </c>
      <c r="B82" s="151" t="s">
        <v>209</v>
      </c>
      <c r="C82" s="166"/>
      <c r="D82" s="166"/>
      <c r="E82" s="216"/>
      <c r="F82" s="216"/>
      <c r="G82" s="216"/>
      <c r="H82" s="168"/>
      <c r="I82" s="168"/>
      <c r="J82" s="168"/>
      <c r="K82" s="168"/>
      <c r="L82" s="169"/>
      <c r="M82" s="4">
        <v>0</v>
      </c>
      <c r="N82" s="162" t="str">
        <f t="shared" si="1"/>
        <v/>
      </c>
      <c r="O82" s="46"/>
      <c r="P82" s="39"/>
      <c r="Q82" s="36"/>
    </row>
    <row r="83" spans="1:17" ht="19.5" customHeight="1" x14ac:dyDescent="0.2">
      <c r="A83" s="160" t="str">
        <f t="shared" si="0"/>
        <v/>
      </c>
      <c r="B83" s="151" t="s">
        <v>209</v>
      </c>
      <c r="C83" s="166"/>
      <c r="D83" s="166"/>
      <c r="E83" s="216"/>
      <c r="F83" s="216"/>
      <c r="G83" s="216"/>
      <c r="H83" s="168"/>
      <c r="I83" s="168"/>
      <c r="J83" s="168"/>
      <c r="K83" s="168"/>
      <c r="L83" s="169"/>
      <c r="M83" s="4">
        <v>0</v>
      </c>
      <c r="N83" s="162" t="str">
        <f t="shared" si="1"/>
        <v/>
      </c>
      <c r="O83" s="46"/>
      <c r="P83" s="39"/>
      <c r="Q83" s="36"/>
    </row>
    <row r="84" spans="1:17" ht="19.5" customHeight="1" x14ac:dyDescent="0.2">
      <c r="A84" s="160" t="str">
        <f t="shared" si="0"/>
        <v/>
      </c>
      <c r="B84" s="151" t="s">
        <v>209</v>
      </c>
      <c r="C84" s="166"/>
      <c r="D84" s="166"/>
      <c r="E84" s="216"/>
      <c r="F84" s="216"/>
      <c r="G84" s="216"/>
      <c r="H84" s="168"/>
      <c r="I84" s="168"/>
      <c r="J84" s="168"/>
      <c r="K84" s="168"/>
      <c r="L84" s="169"/>
      <c r="M84" s="4">
        <v>0</v>
      </c>
      <c r="N84" s="162" t="str">
        <f t="shared" si="1"/>
        <v/>
      </c>
      <c r="O84" s="46"/>
      <c r="P84" s="39"/>
      <c r="Q84" s="36"/>
    </row>
    <row r="85" spans="1:17" ht="19.5" customHeight="1" x14ac:dyDescent="0.2">
      <c r="A85" s="160" t="str">
        <f t="shared" si="0"/>
        <v/>
      </c>
      <c r="B85" s="151" t="s">
        <v>209</v>
      </c>
      <c r="C85" s="166"/>
      <c r="D85" s="166"/>
      <c r="E85" s="216"/>
      <c r="F85" s="216"/>
      <c r="G85" s="216"/>
      <c r="H85" s="168"/>
      <c r="I85" s="168"/>
      <c r="J85" s="168"/>
      <c r="K85" s="168"/>
      <c r="L85" s="169"/>
      <c r="M85" s="4">
        <v>0</v>
      </c>
      <c r="N85" s="162" t="str">
        <f t="shared" si="1"/>
        <v/>
      </c>
      <c r="O85" s="46"/>
      <c r="P85" s="39"/>
      <c r="Q85" s="36"/>
    </row>
    <row r="86" spans="1:17" ht="19.5" customHeight="1" x14ac:dyDescent="0.2">
      <c r="A86" s="160" t="str">
        <f t="shared" si="0"/>
        <v/>
      </c>
      <c r="B86" s="151" t="s">
        <v>209</v>
      </c>
      <c r="C86" s="166"/>
      <c r="D86" s="166"/>
      <c r="E86" s="216"/>
      <c r="F86" s="216"/>
      <c r="G86" s="216"/>
      <c r="H86" s="168"/>
      <c r="I86" s="168"/>
      <c r="J86" s="168"/>
      <c r="K86" s="168"/>
      <c r="L86" s="169"/>
      <c r="M86" s="4">
        <v>0</v>
      </c>
      <c r="N86" s="162" t="str">
        <f t="shared" si="1"/>
        <v/>
      </c>
      <c r="O86" s="46"/>
    </row>
    <row r="87" spans="1:17" ht="19.5" customHeight="1" x14ac:dyDescent="0.2">
      <c r="A87" s="160" t="str">
        <f t="shared" si="0"/>
        <v/>
      </c>
      <c r="B87" s="151" t="s">
        <v>209</v>
      </c>
      <c r="C87" s="166"/>
      <c r="D87" s="166"/>
      <c r="E87" s="216"/>
      <c r="F87" s="216"/>
      <c r="G87" s="216"/>
      <c r="H87" s="168"/>
      <c r="I87" s="168"/>
      <c r="J87" s="168"/>
      <c r="K87" s="168"/>
      <c r="L87" s="169"/>
      <c r="M87" s="4">
        <v>0</v>
      </c>
      <c r="N87" s="162" t="str">
        <f t="shared" si="1"/>
        <v/>
      </c>
      <c r="O87" s="46"/>
    </row>
    <row r="88" spans="1:17" ht="19.5" customHeight="1" x14ac:dyDescent="0.2">
      <c r="A88" s="160" t="str">
        <f t="shared" si="0"/>
        <v/>
      </c>
      <c r="B88" s="151" t="s">
        <v>209</v>
      </c>
      <c r="C88" s="166"/>
      <c r="D88" s="166"/>
      <c r="E88" s="216"/>
      <c r="F88" s="216"/>
      <c r="G88" s="216"/>
      <c r="H88" s="168"/>
      <c r="I88" s="168"/>
      <c r="J88" s="168"/>
      <c r="K88" s="168"/>
      <c r="L88" s="169"/>
      <c r="M88" s="4">
        <v>0</v>
      </c>
      <c r="N88" s="162" t="str">
        <f t="shared" si="1"/>
        <v/>
      </c>
      <c r="O88" s="46"/>
    </row>
    <row r="89" spans="1:17" ht="19.5" customHeight="1" x14ac:dyDescent="0.2">
      <c r="A89" s="160" t="str">
        <f t="shared" si="0"/>
        <v/>
      </c>
      <c r="B89" s="151" t="s">
        <v>209</v>
      </c>
      <c r="C89" s="166"/>
      <c r="D89" s="166"/>
      <c r="E89" s="216"/>
      <c r="F89" s="216"/>
      <c r="G89" s="216"/>
      <c r="H89" s="168"/>
      <c r="I89" s="168"/>
      <c r="J89" s="168"/>
      <c r="K89" s="168"/>
      <c r="L89" s="169"/>
      <c r="M89" s="4">
        <v>0</v>
      </c>
      <c r="N89" s="162" t="str">
        <f t="shared" si="1"/>
        <v/>
      </c>
    </row>
    <row r="90" spans="1:17" ht="19.5" customHeight="1" x14ac:dyDescent="0.2">
      <c r="A90" s="160" t="str">
        <f t="shared" si="0"/>
        <v/>
      </c>
      <c r="B90" s="151" t="s">
        <v>209</v>
      </c>
      <c r="C90" s="166"/>
      <c r="D90" s="166"/>
      <c r="E90" s="216"/>
      <c r="F90" s="216"/>
      <c r="G90" s="216"/>
      <c r="H90" s="168"/>
      <c r="I90" s="168"/>
      <c r="J90" s="168"/>
      <c r="K90" s="168"/>
      <c r="L90" s="169"/>
      <c r="M90" s="4">
        <v>0</v>
      </c>
      <c r="N90" s="162" t="str">
        <f t="shared" si="1"/>
        <v/>
      </c>
    </row>
    <row r="91" spans="1:17" ht="19.5" customHeight="1" x14ac:dyDescent="0.2">
      <c r="A91" s="160" t="str">
        <f t="shared" si="0"/>
        <v/>
      </c>
      <c r="B91" s="151" t="s">
        <v>209</v>
      </c>
      <c r="C91" s="166"/>
      <c r="D91" s="166"/>
      <c r="E91" s="216"/>
      <c r="F91" s="216"/>
      <c r="G91" s="216"/>
      <c r="H91" s="168"/>
      <c r="I91" s="168"/>
      <c r="J91" s="168"/>
      <c r="K91" s="168"/>
      <c r="L91" s="169"/>
      <c r="M91" s="4">
        <v>0</v>
      </c>
      <c r="N91" s="162" t="str">
        <f t="shared" si="1"/>
        <v/>
      </c>
    </row>
    <row r="92" spans="1:17" ht="19.5" customHeight="1" x14ac:dyDescent="0.2">
      <c r="A92" s="160" t="str">
        <f t="shared" si="0"/>
        <v/>
      </c>
      <c r="B92" s="151" t="s">
        <v>209</v>
      </c>
      <c r="C92" s="166"/>
      <c r="D92" s="166"/>
      <c r="E92" s="216"/>
      <c r="F92" s="216"/>
      <c r="G92" s="216"/>
      <c r="H92" s="168"/>
      <c r="I92" s="168"/>
      <c r="J92" s="168"/>
      <c r="K92" s="168"/>
      <c r="L92" s="169"/>
      <c r="M92" s="4">
        <v>0</v>
      </c>
      <c r="N92" s="162" t="str">
        <f t="shared" si="1"/>
        <v/>
      </c>
    </row>
    <row r="93" spans="1:17" ht="19.5" customHeight="1" x14ac:dyDescent="0.2">
      <c r="A93" s="160" t="str">
        <f t="shared" si="0"/>
        <v/>
      </c>
      <c r="B93" s="151" t="s">
        <v>209</v>
      </c>
      <c r="C93" s="166"/>
      <c r="D93" s="166"/>
      <c r="E93" s="216"/>
      <c r="F93" s="216"/>
      <c r="G93" s="216"/>
      <c r="H93" s="168"/>
      <c r="I93" s="168"/>
      <c r="J93" s="168"/>
      <c r="K93" s="168"/>
      <c r="L93" s="169"/>
      <c r="M93" s="4">
        <v>0</v>
      </c>
      <c r="N93" s="162" t="str">
        <f t="shared" si="1"/>
        <v/>
      </c>
    </row>
    <row r="94" spans="1:17" ht="19.5" customHeight="1" x14ac:dyDescent="0.2">
      <c r="A94" s="160" t="str">
        <f t="shared" si="0"/>
        <v/>
      </c>
      <c r="B94" s="151" t="s">
        <v>209</v>
      </c>
      <c r="C94" s="166"/>
      <c r="D94" s="166"/>
      <c r="E94" s="216"/>
      <c r="F94" s="216"/>
      <c r="G94" s="216"/>
      <c r="H94" s="168"/>
      <c r="I94" s="168"/>
      <c r="J94" s="168"/>
      <c r="K94" s="168"/>
      <c r="L94" s="169"/>
      <c r="M94" s="4">
        <v>0</v>
      </c>
      <c r="N94" s="162" t="str">
        <f t="shared" si="1"/>
        <v/>
      </c>
    </row>
    <row r="95" spans="1:17" ht="19.5" customHeight="1" x14ac:dyDescent="0.2">
      <c r="A95" s="160" t="str">
        <f t="shared" si="0"/>
        <v/>
      </c>
      <c r="B95" s="151" t="s">
        <v>209</v>
      </c>
      <c r="C95" s="166"/>
      <c r="D95" s="166"/>
      <c r="E95" s="216"/>
      <c r="F95" s="216"/>
      <c r="G95" s="216"/>
      <c r="H95" s="168"/>
      <c r="I95" s="168"/>
      <c r="J95" s="168"/>
      <c r="K95" s="168"/>
      <c r="L95" s="169"/>
      <c r="M95" s="4">
        <v>0</v>
      </c>
      <c r="N95" s="162" t="str">
        <f t="shared" si="1"/>
        <v/>
      </c>
    </row>
    <row r="96" spans="1:17" ht="19.5" customHeight="1" x14ac:dyDescent="0.2">
      <c r="A96" s="160" t="str">
        <f t="shared" si="0"/>
        <v/>
      </c>
      <c r="B96" s="151" t="s">
        <v>209</v>
      </c>
      <c r="C96" s="166"/>
      <c r="D96" s="166"/>
      <c r="E96" s="216"/>
      <c r="F96" s="216"/>
      <c r="G96" s="216"/>
      <c r="H96" s="168"/>
      <c r="I96" s="168"/>
      <c r="J96" s="168"/>
      <c r="K96" s="168"/>
      <c r="L96" s="169"/>
      <c r="M96" s="4">
        <v>0</v>
      </c>
      <c r="N96" s="162" t="str">
        <f t="shared" si="1"/>
        <v/>
      </c>
    </row>
    <row r="97" spans="1:14" ht="19.5" customHeight="1" x14ac:dyDescent="0.2">
      <c r="A97" s="160" t="str">
        <f t="shared" si="0"/>
        <v/>
      </c>
      <c r="B97" s="151" t="s">
        <v>209</v>
      </c>
      <c r="C97" s="166"/>
      <c r="D97" s="166"/>
      <c r="E97" s="216"/>
      <c r="F97" s="216"/>
      <c r="G97" s="216"/>
      <c r="H97" s="168"/>
      <c r="I97" s="168"/>
      <c r="J97" s="168"/>
      <c r="K97" s="168"/>
      <c r="L97" s="169"/>
      <c r="M97" s="4">
        <v>0</v>
      </c>
      <c r="N97" s="162" t="str">
        <f t="shared" si="1"/>
        <v/>
      </c>
    </row>
    <row r="98" spans="1:14" ht="19.5" customHeight="1" x14ac:dyDescent="0.2">
      <c r="A98" s="160" t="str">
        <f t="shared" si="0"/>
        <v/>
      </c>
      <c r="B98" s="151" t="s">
        <v>209</v>
      </c>
      <c r="C98" s="166"/>
      <c r="D98" s="166"/>
      <c r="E98" s="216"/>
      <c r="F98" s="216"/>
      <c r="G98" s="216"/>
      <c r="H98" s="168"/>
      <c r="I98" s="168"/>
      <c r="J98" s="168"/>
      <c r="K98" s="168"/>
      <c r="L98" s="169"/>
      <c r="M98" s="4">
        <v>0</v>
      </c>
      <c r="N98" s="162" t="str">
        <f t="shared" si="1"/>
        <v/>
      </c>
    </row>
    <row r="99" spans="1:14" ht="19.5" customHeight="1" x14ac:dyDescent="0.2">
      <c r="A99" s="160" t="str">
        <f t="shared" si="0"/>
        <v/>
      </c>
      <c r="B99" s="151" t="s">
        <v>209</v>
      </c>
      <c r="C99" s="166"/>
      <c r="D99" s="166"/>
      <c r="E99" s="216"/>
      <c r="F99" s="216"/>
      <c r="G99" s="216"/>
      <c r="H99" s="168"/>
      <c r="I99" s="168"/>
      <c r="J99" s="168"/>
      <c r="K99" s="168"/>
      <c r="L99" s="169"/>
      <c r="M99" s="4">
        <v>0</v>
      </c>
      <c r="N99" s="162" t="str">
        <f t="shared" si="1"/>
        <v/>
      </c>
    </row>
    <row r="100" spans="1:14" ht="19.5" customHeight="1" x14ac:dyDescent="0.2">
      <c r="A100" s="160" t="str">
        <f t="shared" si="0"/>
        <v/>
      </c>
      <c r="B100" s="151" t="s">
        <v>209</v>
      </c>
      <c r="C100" s="166"/>
      <c r="D100" s="166"/>
      <c r="E100" s="216"/>
      <c r="F100" s="216"/>
      <c r="G100" s="216"/>
      <c r="H100" s="168"/>
      <c r="I100" s="168"/>
      <c r="J100" s="168"/>
      <c r="K100" s="168"/>
      <c r="L100" s="169"/>
      <c r="M100" s="4">
        <v>0</v>
      </c>
      <c r="N100" s="162" t="str">
        <f t="shared" si="1"/>
        <v/>
      </c>
    </row>
    <row r="101" spans="1:14" ht="19.5" customHeight="1" x14ac:dyDescent="0.2">
      <c r="A101" s="160" t="str">
        <f t="shared" si="0"/>
        <v/>
      </c>
      <c r="B101" s="151" t="s">
        <v>209</v>
      </c>
      <c r="C101" s="166"/>
      <c r="D101" s="166"/>
      <c r="E101" s="216"/>
      <c r="F101" s="216"/>
      <c r="G101" s="216"/>
      <c r="H101" s="168"/>
      <c r="I101" s="168"/>
      <c r="J101" s="168"/>
      <c r="K101" s="168"/>
      <c r="L101" s="169"/>
      <c r="M101" s="4">
        <v>0</v>
      </c>
      <c r="N101" s="162" t="str">
        <f t="shared" si="1"/>
        <v/>
      </c>
    </row>
    <row r="102" spans="1:14" ht="19.5" customHeight="1" x14ac:dyDescent="0.2">
      <c r="A102" s="160" t="str">
        <f t="shared" si="0"/>
        <v/>
      </c>
      <c r="B102" s="151" t="s">
        <v>209</v>
      </c>
      <c r="C102" s="166"/>
      <c r="D102" s="166"/>
      <c r="E102" s="216"/>
      <c r="F102" s="216"/>
      <c r="G102" s="216"/>
      <c r="H102" s="168"/>
      <c r="I102" s="168"/>
      <c r="J102" s="168"/>
      <c r="K102" s="168"/>
      <c r="L102" s="169"/>
      <c r="M102" s="4">
        <v>0</v>
      </c>
      <c r="N102" s="162" t="str">
        <f t="shared" si="1"/>
        <v/>
      </c>
    </row>
    <row r="103" spans="1:14" ht="19.5" customHeight="1" x14ac:dyDescent="0.2">
      <c r="A103" s="160" t="str">
        <f t="shared" si="0"/>
        <v/>
      </c>
      <c r="B103" s="151" t="s">
        <v>209</v>
      </c>
      <c r="C103" s="166"/>
      <c r="D103" s="166"/>
      <c r="E103" s="216"/>
      <c r="F103" s="216"/>
      <c r="G103" s="216"/>
      <c r="H103" s="168"/>
      <c r="I103" s="168"/>
      <c r="J103" s="168"/>
      <c r="K103" s="168"/>
      <c r="L103" s="169"/>
      <c r="M103" s="4">
        <v>0</v>
      </c>
      <c r="N103" s="162" t="str">
        <f t="shared" si="1"/>
        <v/>
      </c>
    </row>
    <row r="104" spans="1:14" ht="19.5" customHeight="1" x14ac:dyDescent="0.2">
      <c r="A104" s="160" t="str">
        <f t="shared" si="0"/>
        <v/>
      </c>
      <c r="B104" s="151" t="s">
        <v>209</v>
      </c>
      <c r="C104" s="166"/>
      <c r="D104" s="166"/>
      <c r="E104" s="216"/>
      <c r="F104" s="216"/>
      <c r="G104" s="216"/>
      <c r="H104" s="168"/>
      <c r="I104" s="168"/>
      <c r="J104" s="168"/>
      <c r="K104" s="168"/>
      <c r="L104" s="169"/>
      <c r="M104" s="4">
        <v>0</v>
      </c>
      <c r="N104" s="162" t="str">
        <f t="shared" si="1"/>
        <v/>
      </c>
    </row>
    <row r="105" spans="1:14" ht="19.5" customHeight="1" x14ac:dyDescent="0.2">
      <c r="A105" s="160" t="str">
        <f t="shared" si="0"/>
        <v/>
      </c>
      <c r="B105" s="151" t="s">
        <v>209</v>
      </c>
      <c r="C105" s="166"/>
      <c r="D105" s="166"/>
      <c r="E105" s="216"/>
      <c r="F105" s="216"/>
      <c r="G105" s="216"/>
      <c r="H105" s="168"/>
      <c r="I105" s="168"/>
      <c r="J105" s="168"/>
      <c r="K105" s="168"/>
      <c r="L105" s="169"/>
      <c r="M105" s="4">
        <v>0</v>
      </c>
      <c r="N105" s="162" t="str">
        <f t="shared" si="1"/>
        <v/>
      </c>
    </row>
    <row r="106" spans="1:14" ht="19.5" customHeight="1" x14ac:dyDescent="0.2">
      <c r="A106" s="160" t="str">
        <f t="shared" si="0"/>
        <v/>
      </c>
      <c r="B106" s="151" t="s">
        <v>209</v>
      </c>
      <c r="C106" s="166"/>
      <c r="D106" s="166"/>
      <c r="E106" s="216"/>
      <c r="F106" s="216"/>
      <c r="G106" s="216"/>
      <c r="H106" s="168"/>
      <c r="I106" s="168"/>
      <c r="J106" s="168"/>
      <c r="K106" s="168"/>
      <c r="L106" s="169"/>
      <c r="M106" s="4">
        <v>0</v>
      </c>
      <c r="N106" s="162" t="str">
        <f t="shared" si="1"/>
        <v/>
      </c>
    </row>
    <row r="107" spans="1:14" ht="19.5" customHeight="1" x14ac:dyDescent="0.2">
      <c r="A107" s="160" t="str">
        <f t="shared" si="0"/>
        <v/>
      </c>
      <c r="B107" s="151" t="s">
        <v>209</v>
      </c>
      <c r="C107" s="166"/>
      <c r="D107" s="166"/>
      <c r="E107" s="216"/>
      <c r="F107" s="216"/>
      <c r="G107" s="216"/>
      <c r="H107" s="168"/>
      <c r="I107" s="168"/>
      <c r="J107" s="168"/>
      <c r="K107" s="168"/>
      <c r="L107" s="169"/>
      <c r="M107" s="4">
        <v>0</v>
      </c>
      <c r="N107" s="162" t="str">
        <f t="shared" si="1"/>
        <v/>
      </c>
    </row>
    <row r="108" spans="1:14" ht="19.5" customHeight="1" x14ac:dyDescent="0.2">
      <c r="A108" s="160" t="str">
        <f t="shared" ref="A108:A171" si="2">IF(ROW(A108)-42&lt;=$E$14,ROW(A108)-42,"")</f>
        <v/>
      </c>
      <c r="B108" s="151" t="s">
        <v>209</v>
      </c>
      <c r="C108" s="166"/>
      <c r="D108" s="166"/>
      <c r="E108" s="216"/>
      <c r="F108" s="216"/>
      <c r="G108" s="216"/>
      <c r="H108" s="168"/>
      <c r="I108" s="168"/>
      <c r="J108" s="168"/>
      <c r="K108" s="168"/>
      <c r="L108" s="169"/>
      <c r="M108" s="4">
        <v>0</v>
      </c>
      <c r="N108" s="162" t="str">
        <f t="shared" ref="N108:N171" si="3">IF(M108&gt;0,IF(M108&lt;10,"Sample Name can have letters, numbers, and dash (-) only. No spaces or other characters please!","Sample Names must be unique!"),"")</f>
        <v/>
      </c>
    </row>
    <row r="109" spans="1:14" ht="19.5" customHeight="1" x14ac:dyDescent="0.2">
      <c r="A109" s="160" t="str">
        <f t="shared" si="2"/>
        <v/>
      </c>
      <c r="B109" s="151" t="s">
        <v>209</v>
      </c>
      <c r="C109" s="166"/>
      <c r="D109" s="166"/>
      <c r="E109" s="216"/>
      <c r="F109" s="216"/>
      <c r="G109" s="216"/>
      <c r="H109" s="168"/>
      <c r="I109" s="168"/>
      <c r="J109" s="168"/>
      <c r="K109" s="168"/>
      <c r="L109" s="169"/>
      <c r="M109" s="4">
        <v>0</v>
      </c>
      <c r="N109" s="162" t="str">
        <f t="shared" si="3"/>
        <v/>
      </c>
    </row>
    <row r="110" spans="1:14" ht="19.5" customHeight="1" x14ac:dyDescent="0.2">
      <c r="A110" s="160" t="str">
        <f t="shared" si="2"/>
        <v/>
      </c>
      <c r="B110" s="151" t="s">
        <v>209</v>
      </c>
      <c r="C110" s="166"/>
      <c r="D110" s="166"/>
      <c r="E110" s="216"/>
      <c r="F110" s="216"/>
      <c r="G110" s="216"/>
      <c r="H110" s="168"/>
      <c r="I110" s="168"/>
      <c r="J110" s="168"/>
      <c r="K110" s="168"/>
      <c r="L110" s="169"/>
      <c r="M110" s="4">
        <v>0</v>
      </c>
      <c r="N110" s="162" t="str">
        <f t="shared" si="3"/>
        <v/>
      </c>
    </row>
    <row r="111" spans="1:14" ht="19.5" customHeight="1" x14ac:dyDescent="0.2">
      <c r="A111" s="160" t="str">
        <f t="shared" si="2"/>
        <v/>
      </c>
      <c r="B111" s="151" t="s">
        <v>209</v>
      </c>
      <c r="C111" s="166"/>
      <c r="D111" s="166"/>
      <c r="E111" s="216"/>
      <c r="F111" s="216"/>
      <c r="G111" s="216"/>
      <c r="H111" s="168"/>
      <c r="I111" s="168"/>
      <c r="J111" s="168"/>
      <c r="K111" s="168"/>
      <c r="L111" s="169"/>
      <c r="M111" s="4">
        <v>0</v>
      </c>
      <c r="N111" s="162" t="str">
        <f t="shared" si="3"/>
        <v/>
      </c>
    </row>
    <row r="112" spans="1:14" ht="19.5" customHeight="1" x14ac:dyDescent="0.2">
      <c r="A112" s="160" t="str">
        <f t="shared" si="2"/>
        <v/>
      </c>
      <c r="B112" s="151" t="s">
        <v>209</v>
      </c>
      <c r="C112" s="166"/>
      <c r="D112" s="166"/>
      <c r="E112" s="216"/>
      <c r="F112" s="216"/>
      <c r="G112" s="216"/>
      <c r="H112" s="168"/>
      <c r="I112" s="168"/>
      <c r="J112" s="168"/>
      <c r="K112" s="168"/>
      <c r="L112" s="169"/>
      <c r="M112" s="4">
        <v>0</v>
      </c>
      <c r="N112" s="162" t="str">
        <f t="shared" si="3"/>
        <v/>
      </c>
    </row>
    <row r="113" spans="1:14" ht="19.5" customHeight="1" x14ac:dyDescent="0.2">
      <c r="A113" s="160" t="str">
        <f t="shared" si="2"/>
        <v/>
      </c>
      <c r="B113" s="151" t="s">
        <v>209</v>
      </c>
      <c r="C113" s="166"/>
      <c r="D113" s="166"/>
      <c r="E113" s="216"/>
      <c r="F113" s="216"/>
      <c r="G113" s="216"/>
      <c r="H113" s="168"/>
      <c r="I113" s="168"/>
      <c r="J113" s="168"/>
      <c r="K113" s="168"/>
      <c r="L113" s="169"/>
      <c r="M113" s="4">
        <v>0</v>
      </c>
      <c r="N113" s="162" t="str">
        <f t="shared" si="3"/>
        <v/>
      </c>
    </row>
    <row r="114" spans="1:14" ht="19.5" customHeight="1" x14ac:dyDescent="0.2">
      <c r="A114" s="160" t="str">
        <f t="shared" si="2"/>
        <v/>
      </c>
      <c r="B114" s="151" t="s">
        <v>209</v>
      </c>
      <c r="C114" s="166"/>
      <c r="D114" s="166"/>
      <c r="E114" s="216"/>
      <c r="F114" s="216"/>
      <c r="G114" s="216"/>
      <c r="H114" s="168"/>
      <c r="I114" s="168"/>
      <c r="J114" s="168"/>
      <c r="K114" s="168"/>
      <c r="L114" s="169"/>
      <c r="M114" s="4">
        <v>0</v>
      </c>
      <c r="N114" s="162" t="str">
        <f t="shared" si="3"/>
        <v/>
      </c>
    </row>
    <row r="115" spans="1:14" ht="19.5" customHeight="1" x14ac:dyDescent="0.2">
      <c r="A115" s="160" t="str">
        <f t="shared" si="2"/>
        <v/>
      </c>
      <c r="B115" s="151" t="s">
        <v>209</v>
      </c>
      <c r="C115" s="166"/>
      <c r="D115" s="166"/>
      <c r="E115" s="216"/>
      <c r="F115" s="216"/>
      <c r="G115" s="216"/>
      <c r="H115" s="168"/>
      <c r="I115" s="168"/>
      <c r="J115" s="168"/>
      <c r="K115" s="168"/>
      <c r="L115" s="169"/>
      <c r="M115" s="4">
        <v>0</v>
      </c>
      <c r="N115" s="162" t="str">
        <f t="shared" si="3"/>
        <v/>
      </c>
    </row>
    <row r="116" spans="1:14" ht="19.5" customHeight="1" x14ac:dyDescent="0.2">
      <c r="A116" s="160" t="str">
        <f t="shared" si="2"/>
        <v/>
      </c>
      <c r="B116" s="151" t="s">
        <v>209</v>
      </c>
      <c r="C116" s="166"/>
      <c r="D116" s="166"/>
      <c r="E116" s="216"/>
      <c r="F116" s="216"/>
      <c r="G116" s="216"/>
      <c r="H116" s="168"/>
      <c r="I116" s="168"/>
      <c r="J116" s="168"/>
      <c r="K116" s="168"/>
      <c r="L116" s="169"/>
      <c r="M116" s="4">
        <v>0</v>
      </c>
      <c r="N116" s="162" t="str">
        <f t="shared" si="3"/>
        <v/>
      </c>
    </row>
    <row r="117" spans="1:14" ht="19.5" customHeight="1" x14ac:dyDescent="0.2">
      <c r="A117" s="160" t="str">
        <f t="shared" si="2"/>
        <v/>
      </c>
      <c r="B117" s="151" t="s">
        <v>209</v>
      </c>
      <c r="C117" s="166"/>
      <c r="D117" s="166"/>
      <c r="E117" s="216"/>
      <c r="F117" s="216"/>
      <c r="G117" s="216"/>
      <c r="H117" s="168"/>
      <c r="I117" s="168"/>
      <c r="J117" s="168"/>
      <c r="K117" s="168"/>
      <c r="L117" s="169"/>
      <c r="M117" s="4">
        <v>0</v>
      </c>
      <c r="N117" s="162" t="str">
        <f t="shared" si="3"/>
        <v/>
      </c>
    </row>
    <row r="118" spans="1:14" ht="19.5" customHeight="1" x14ac:dyDescent="0.2">
      <c r="A118" s="160" t="str">
        <f t="shared" si="2"/>
        <v/>
      </c>
      <c r="B118" s="151" t="s">
        <v>209</v>
      </c>
      <c r="C118" s="166"/>
      <c r="D118" s="166"/>
      <c r="E118" s="216"/>
      <c r="F118" s="216"/>
      <c r="G118" s="216"/>
      <c r="H118" s="168"/>
      <c r="I118" s="168"/>
      <c r="J118" s="168"/>
      <c r="K118" s="168"/>
      <c r="L118" s="169"/>
      <c r="M118" s="4">
        <v>0</v>
      </c>
      <c r="N118" s="162" t="str">
        <f t="shared" si="3"/>
        <v/>
      </c>
    </row>
    <row r="119" spans="1:14" ht="19.5" customHeight="1" x14ac:dyDescent="0.2">
      <c r="A119" s="160" t="str">
        <f t="shared" si="2"/>
        <v/>
      </c>
      <c r="B119" s="151" t="s">
        <v>209</v>
      </c>
      <c r="C119" s="166"/>
      <c r="D119" s="166"/>
      <c r="E119" s="216"/>
      <c r="F119" s="216"/>
      <c r="G119" s="216"/>
      <c r="H119" s="168"/>
      <c r="I119" s="168"/>
      <c r="J119" s="168"/>
      <c r="K119" s="168"/>
      <c r="L119" s="169"/>
      <c r="M119" s="4">
        <v>0</v>
      </c>
      <c r="N119" s="162" t="str">
        <f t="shared" si="3"/>
        <v/>
      </c>
    </row>
    <row r="120" spans="1:14" ht="19.5" customHeight="1" x14ac:dyDescent="0.2">
      <c r="A120" s="160" t="str">
        <f t="shared" si="2"/>
        <v/>
      </c>
      <c r="B120" s="151" t="s">
        <v>209</v>
      </c>
      <c r="C120" s="166"/>
      <c r="D120" s="166"/>
      <c r="E120" s="216"/>
      <c r="F120" s="216"/>
      <c r="G120" s="216"/>
      <c r="H120" s="168"/>
      <c r="I120" s="168"/>
      <c r="J120" s="168"/>
      <c r="K120" s="168"/>
      <c r="L120" s="169"/>
      <c r="M120" s="4">
        <v>0</v>
      </c>
      <c r="N120" s="162" t="str">
        <f t="shared" si="3"/>
        <v/>
      </c>
    </row>
    <row r="121" spans="1:14" ht="19.5" customHeight="1" x14ac:dyDescent="0.2">
      <c r="A121" s="160" t="str">
        <f t="shared" si="2"/>
        <v/>
      </c>
      <c r="B121" s="151" t="s">
        <v>209</v>
      </c>
      <c r="C121" s="166"/>
      <c r="D121" s="166"/>
      <c r="E121" s="216"/>
      <c r="F121" s="216"/>
      <c r="G121" s="216"/>
      <c r="H121" s="168"/>
      <c r="I121" s="168"/>
      <c r="J121" s="168"/>
      <c r="K121" s="168"/>
      <c r="L121" s="169"/>
      <c r="M121" s="4">
        <v>0</v>
      </c>
      <c r="N121" s="162" t="str">
        <f t="shared" si="3"/>
        <v/>
      </c>
    </row>
    <row r="122" spans="1:14" ht="19.5" customHeight="1" x14ac:dyDescent="0.2">
      <c r="A122" s="160" t="str">
        <f t="shared" si="2"/>
        <v/>
      </c>
      <c r="B122" s="151" t="s">
        <v>209</v>
      </c>
      <c r="C122" s="166"/>
      <c r="D122" s="166"/>
      <c r="E122" s="216"/>
      <c r="F122" s="216"/>
      <c r="G122" s="216"/>
      <c r="H122" s="168"/>
      <c r="I122" s="168"/>
      <c r="J122" s="168"/>
      <c r="K122" s="168"/>
      <c r="L122" s="169"/>
      <c r="M122" s="4">
        <v>0</v>
      </c>
      <c r="N122" s="162" t="str">
        <f t="shared" si="3"/>
        <v/>
      </c>
    </row>
    <row r="123" spans="1:14" ht="19.5" customHeight="1" x14ac:dyDescent="0.2">
      <c r="A123" s="160" t="str">
        <f t="shared" si="2"/>
        <v/>
      </c>
      <c r="B123" s="151" t="s">
        <v>209</v>
      </c>
      <c r="C123" s="166"/>
      <c r="D123" s="166"/>
      <c r="E123" s="216"/>
      <c r="F123" s="216"/>
      <c r="G123" s="216"/>
      <c r="H123" s="168"/>
      <c r="I123" s="168"/>
      <c r="J123" s="168"/>
      <c r="K123" s="168"/>
      <c r="L123" s="169"/>
      <c r="M123" s="4">
        <v>0</v>
      </c>
      <c r="N123" s="162" t="str">
        <f t="shared" si="3"/>
        <v/>
      </c>
    </row>
    <row r="124" spans="1:14" ht="19.5" customHeight="1" x14ac:dyDescent="0.2">
      <c r="A124" s="160" t="str">
        <f t="shared" si="2"/>
        <v/>
      </c>
      <c r="B124" s="151" t="s">
        <v>209</v>
      </c>
      <c r="C124" s="166"/>
      <c r="D124" s="166"/>
      <c r="E124" s="216"/>
      <c r="F124" s="216"/>
      <c r="G124" s="216"/>
      <c r="H124" s="168"/>
      <c r="I124" s="168"/>
      <c r="J124" s="168"/>
      <c r="K124" s="168"/>
      <c r="L124" s="169"/>
      <c r="M124" s="4">
        <v>0</v>
      </c>
      <c r="N124" s="162" t="str">
        <f t="shared" si="3"/>
        <v/>
      </c>
    </row>
    <row r="125" spans="1:14" ht="19.5" customHeight="1" x14ac:dyDescent="0.2">
      <c r="A125" s="160" t="str">
        <f t="shared" si="2"/>
        <v/>
      </c>
      <c r="B125" s="151" t="s">
        <v>209</v>
      </c>
      <c r="C125" s="166"/>
      <c r="D125" s="166"/>
      <c r="E125" s="216"/>
      <c r="F125" s="216"/>
      <c r="G125" s="216"/>
      <c r="H125" s="168"/>
      <c r="I125" s="168"/>
      <c r="J125" s="168"/>
      <c r="K125" s="168"/>
      <c r="L125" s="169"/>
      <c r="M125" s="4">
        <v>0</v>
      </c>
      <c r="N125" s="162" t="str">
        <f t="shared" si="3"/>
        <v/>
      </c>
    </row>
    <row r="126" spans="1:14" ht="19.5" customHeight="1" x14ac:dyDescent="0.2">
      <c r="A126" s="160" t="str">
        <f t="shared" si="2"/>
        <v/>
      </c>
      <c r="B126" s="151" t="s">
        <v>209</v>
      </c>
      <c r="C126" s="166"/>
      <c r="D126" s="166"/>
      <c r="E126" s="216"/>
      <c r="F126" s="216"/>
      <c r="G126" s="216"/>
      <c r="H126" s="168"/>
      <c r="I126" s="168"/>
      <c r="J126" s="168"/>
      <c r="K126" s="168"/>
      <c r="L126" s="169"/>
      <c r="M126" s="4">
        <v>0</v>
      </c>
      <c r="N126" s="162" t="str">
        <f t="shared" si="3"/>
        <v/>
      </c>
    </row>
    <row r="127" spans="1:14" ht="19.5" customHeight="1" x14ac:dyDescent="0.2">
      <c r="A127" s="160" t="str">
        <f t="shared" si="2"/>
        <v/>
      </c>
      <c r="B127" s="151" t="s">
        <v>209</v>
      </c>
      <c r="C127" s="166"/>
      <c r="D127" s="166"/>
      <c r="E127" s="216"/>
      <c r="F127" s="216"/>
      <c r="G127" s="216"/>
      <c r="H127" s="168"/>
      <c r="I127" s="168"/>
      <c r="J127" s="168"/>
      <c r="K127" s="168"/>
      <c r="L127" s="169"/>
      <c r="M127" s="4">
        <v>0</v>
      </c>
      <c r="N127" s="162" t="str">
        <f t="shared" si="3"/>
        <v/>
      </c>
    </row>
    <row r="128" spans="1:14" ht="19.5" customHeight="1" x14ac:dyDescent="0.2">
      <c r="A128" s="160" t="str">
        <f t="shared" si="2"/>
        <v/>
      </c>
      <c r="B128" s="151" t="s">
        <v>209</v>
      </c>
      <c r="C128" s="166"/>
      <c r="D128" s="166"/>
      <c r="E128" s="216"/>
      <c r="F128" s="216"/>
      <c r="G128" s="216"/>
      <c r="H128" s="168"/>
      <c r="I128" s="168"/>
      <c r="J128" s="168"/>
      <c r="K128" s="168"/>
      <c r="L128" s="169"/>
      <c r="M128" s="4">
        <v>0</v>
      </c>
      <c r="N128" s="162" t="str">
        <f t="shared" si="3"/>
        <v/>
      </c>
    </row>
    <row r="129" spans="1:14" ht="19.5" customHeight="1" x14ac:dyDescent="0.2">
      <c r="A129" s="160" t="str">
        <f t="shared" si="2"/>
        <v/>
      </c>
      <c r="B129" s="151" t="s">
        <v>209</v>
      </c>
      <c r="C129" s="166"/>
      <c r="D129" s="166"/>
      <c r="E129" s="216"/>
      <c r="F129" s="216"/>
      <c r="G129" s="216"/>
      <c r="H129" s="168"/>
      <c r="I129" s="168"/>
      <c r="J129" s="168"/>
      <c r="K129" s="168"/>
      <c r="L129" s="169"/>
      <c r="M129" s="4">
        <v>0</v>
      </c>
      <c r="N129" s="162" t="str">
        <f t="shared" si="3"/>
        <v/>
      </c>
    </row>
    <row r="130" spans="1:14" ht="19.5" customHeight="1" x14ac:dyDescent="0.2">
      <c r="A130" s="160" t="str">
        <f t="shared" si="2"/>
        <v/>
      </c>
      <c r="B130" s="151" t="s">
        <v>209</v>
      </c>
      <c r="C130" s="166"/>
      <c r="D130" s="166"/>
      <c r="E130" s="216"/>
      <c r="F130" s="216"/>
      <c r="G130" s="216"/>
      <c r="H130" s="168"/>
      <c r="I130" s="168"/>
      <c r="J130" s="168"/>
      <c r="K130" s="168"/>
      <c r="L130" s="169"/>
      <c r="M130" s="4">
        <v>0</v>
      </c>
      <c r="N130" s="162" t="str">
        <f t="shared" si="3"/>
        <v/>
      </c>
    </row>
    <row r="131" spans="1:14" ht="19.5" customHeight="1" x14ac:dyDescent="0.2">
      <c r="A131" s="160" t="str">
        <f t="shared" si="2"/>
        <v/>
      </c>
      <c r="B131" s="151" t="s">
        <v>209</v>
      </c>
      <c r="C131" s="166"/>
      <c r="D131" s="166"/>
      <c r="E131" s="216"/>
      <c r="F131" s="216"/>
      <c r="G131" s="216"/>
      <c r="H131" s="168"/>
      <c r="I131" s="168"/>
      <c r="J131" s="168"/>
      <c r="K131" s="168"/>
      <c r="L131" s="169"/>
      <c r="M131" s="4">
        <v>0</v>
      </c>
      <c r="N131" s="162" t="str">
        <f t="shared" si="3"/>
        <v/>
      </c>
    </row>
    <row r="132" spans="1:14" ht="19.5" customHeight="1" x14ac:dyDescent="0.2">
      <c r="A132" s="160" t="str">
        <f t="shared" si="2"/>
        <v/>
      </c>
      <c r="B132" s="151" t="s">
        <v>209</v>
      </c>
      <c r="C132" s="166"/>
      <c r="D132" s="166"/>
      <c r="E132" s="216"/>
      <c r="F132" s="216"/>
      <c r="G132" s="216"/>
      <c r="H132" s="168"/>
      <c r="I132" s="168"/>
      <c r="J132" s="168"/>
      <c r="K132" s="168"/>
      <c r="L132" s="169"/>
      <c r="M132" s="4">
        <v>0</v>
      </c>
      <c r="N132" s="162" t="str">
        <f t="shared" si="3"/>
        <v/>
      </c>
    </row>
    <row r="133" spans="1:14" ht="19.5" customHeight="1" x14ac:dyDescent="0.2">
      <c r="A133" s="160" t="str">
        <f t="shared" si="2"/>
        <v/>
      </c>
      <c r="B133" s="151" t="s">
        <v>209</v>
      </c>
      <c r="C133" s="166"/>
      <c r="D133" s="166"/>
      <c r="E133" s="216"/>
      <c r="F133" s="216"/>
      <c r="G133" s="216"/>
      <c r="H133" s="168"/>
      <c r="I133" s="168"/>
      <c r="J133" s="168"/>
      <c r="K133" s="168"/>
      <c r="L133" s="169"/>
      <c r="M133" s="4">
        <v>0</v>
      </c>
      <c r="N133" s="162" t="str">
        <f t="shared" si="3"/>
        <v/>
      </c>
    </row>
    <row r="134" spans="1:14" ht="19.5" customHeight="1" x14ac:dyDescent="0.2">
      <c r="A134" s="160" t="str">
        <f t="shared" si="2"/>
        <v/>
      </c>
      <c r="B134" s="151" t="s">
        <v>209</v>
      </c>
      <c r="C134" s="166"/>
      <c r="D134" s="166"/>
      <c r="E134" s="216"/>
      <c r="F134" s="216"/>
      <c r="G134" s="216"/>
      <c r="H134" s="168"/>
      <c r="I134" s="168"/>
      <c r="J134" s="168"/>
      <c r="K134" s="168"/>
      <c r="L134" s="169"/>
      <c r="M134" s="4">
        <v>0</v>
      </c>
      <c r="N134" s="162" t="str">
        <f t="shared" si="3"/>
        <v/>
      </c>
    </row>
    <row r="135" spans="1:14" ht="19.5" customHeight="1" x14ac:dyDescent="0.2">
      <c r="A135" s="160" t="str">
        <f t="shared" si="2"/>
        <v/>
      </c>
      <c r="B135" s="151" t="s">
        <v>209</v>
      </c>
      <c r="C135" s="166"/>
      <c r="D135" s="166"/>
      <c r="E135" s="216"/>
      <c r="F135" s="216"/>
      <c r="G135" s="216"/>
      <c r="H135" s="168"/>
      <c r="I135" s="168"/>
      <c r="J135" s="168"/>
      <c r="K135" s="168"/>
      <c r="L135" s="169"/>
      <c r="M135" s="4">
        <v>0</v>
      </c>
      <c r="N135" s="162" t="str">
        <f t="shared" si="3"/>
        <v/>
      </c>
    </row>
    <row r="136" spans="1:14" ht="19.5" customHeight="1" x14ac:dyDescent="0.2">
      <c r="A136" s="160" t="str">
        <f t="shared" si="2"/>
        <v/>
      </c>
      <c r="B136" s="151" t="s">
        <v>209</v>
      </c>
      <c r="C136" s="166"/>
      <c r="D136" s="166"/>
      <c r="E136" s="216"/>
      <c r="F136" s="216"/>
      <c r="G136" s="216"/>
      <c r="H136" s="168"/>
      <c r="I136" s="168"/>
      <c r="J136" s="168"/>
      <c r="K136" s="168"/>
      <c r="L136" s="169"/>
      <c r="M136" s="4">
        <v>0</v>
      </c>
      <c r="N136" s="162" t="str">
        <f t="shared" si="3"/>
        <v/>
      </c>
    </row>
    <row r="137" spans="1:14" ht="19.5" customHeight="1" x14ac:dyDescent="0.2">
      <c r="A137" s="160" t="str">
        <f t="shared" si="2"/>
        <v/>
      </c>
      <c r="B137" s="151" t="s">
        <v>209</v>
      </c>
      <c r="C137" s="166"/>
      <c r="D137" s="166"/>
      <c r="E137" s="216"/>
      <c r="F137" s="216"/>
      <c r="G137" s="216"/>
      <c r="H137" s="168"/>
      <c r="I137" s="168"/>
      <c r="J137" s="168"/>
      <c r="K137" s="168"/>
      <c r="L137" s="169"/>
      <c r="M137" s="4">
        <v>0</v>
      </c>
      <c r="N137" s="162" t="str">
        <f t="shared" si="3"/>
        <v/>
      </c>
    </row>
    <row r="138" spans="1:14" ht="19.5" customHeight="1" x14ac:dyDescent="0.2">
      <c r="A138" s="160" t="str">
        <f t="shared" si="2"/>
        <v/>
      </c>
      <c r="B138" s="151" t="s">
        <v>209</v>
      </c>
      <c r="C138" s="166"/>
      <c r="D138" s="166"/>
      <c r="E138" s="216"/>
      <c r="F138" s="216"/>
      <c r="G138" s="216"/>
      <c r="H138" s="168"/>
      <c r="I138" s="168"/>
      <c r="J138" s="168"/>
      <c r="K138" s="168"/>
      <c r="L138" s="169"/>
      <c r="M138" s="4">
        <v>0</v>
      </c>
      <c r="N138" s="162" t="str">
        <f t="shared" si="3"/>
        <v/>
      </c>
    </row>
    <row r="139" spans="1:14" ht="19.5" customHeight="1" x14ac:dyDescent="0.2">
      <c r="A139" s="160" t="str">
        <f t="shared" si="2"/>
        <v/>
      </c>
      <c r="B139" s="151" t="s">
        <v>209</v>
      </c>
      <c r="C139" s="166"/>
      <c r="D139" s="166"/>
      <c r="E139" s="216"/>
      <c r="F139" s="216"/>
      <c r="G139" s="216"/>
      <c r="H139" s="168"/>
      <c r="I139" s="168"/>
      <c r="J139" s="168"/>
      <c r="K139" s="168"/>
      <c r="L139" s="169"/>
      <c r="M139" s="4">
        <v>0</v>
      </c>
      <c r="N139" s="162" t="str">
        <f t="shared" si="3"/>
        <v/>
      </c>
    </row>
    <row r="140" spans="1:14" ht="19.5" customHeight="1" x14ac:dyDescent="0.2">
      <c r="A140" s="160" t="str">
        <f t="shared" si="2"/>
        <v/>
      </c>
      <c r="B140" s="151" t="s">
        <v>209</v>
      </c>
      <c r="C140" s="166"/>
      <c r="D140" s="166"/>
      <c r="E140" s="216"/>
      <c r="F140" s="216"/>
      <c r="G140" s="216"/>
      <c r="H140" s="168"/>
      <c r="I140" s="168"/>
      <c r="J140" s="168"/>
      <c r="K140" s="168"/>
      <c r="L140" s="169"/>
      <c r="M140" s="4">
        <v>0</v>
      </c>
      <c r="N140" s="162" t="str">
        <f t="shared" si="3"/>
        <v/>
      </c>
    </row>
    <row r="141" spans="1:14" ht="19.5" customHeight="1" x14ac:dyDescent="0.2">
      <c r="A141" s="160" t="str">
        <f t="shared" si="2"/>
        <v/>
      </c>
      <c r="B141" s="151" t="s">
        <v>209</v>
      </c>
      <c r="C141" s="166"/>
      <c r="D141" s="166"/>
      <c r="E141" s="216"/>
      <c r="F141" s="216"/>
      <c r="G141" s="216"/>
      <c r="H141" s="168"/>
      <c r="I141" s="168"/>
      <c r="J141" s="168"/>
      <c r="K141" s="168"/>
      <c r="L141" s="169"/>
      <c r="M141" s="4">
        <v>0</v>
      </c>
      <c r="N141" s="162" t="str">
        <f t="shared" si="3"/>
        <v/>
      </c>
    </row>
    <row r="142" spans="1:14" ht="19.5" customHeight="1" x14ac:dyDescent="0.2">
      <c r="A142" s="160" t="str">
        <f t="shared" si="2"/>
        <v/>
      </c>
      <c r="B142" s="151" t="s">
        <v>209</v>
      </c>
      <c r="C142" s="166"/>
      <c r="D142" s="166"/>
      <c r="E142" s="216"/>
      <c r="F142" s="216"/>
      <c r="G142" s="216"/>
      <c r="H142" s="168"/>
      <c r="I142" s="168"/>
      <c r="J142" s="168"/>
      <c r="K142" s="168"/>
      <c r="L142" s="169"/>
      <c r="M142" s="4">
        <v>0</v>
      </c>
      <c r="N142" s="162" t="str">
        <f t="shared" si="3"/>
        <v/>
      </c>
    </row>
    <row r="143" spans="1:14" ht="19.5" customHeight="1" x14ac:dyDescent="0.2">
      <c r="A143" s="160" t="str">
        <f t="shared" si="2"/>
        <v/>
      </c>
      <c r="B143" s="151" t="s">
        <v>209</v>
      </c>
      <c r="C143" s="166"/>
      <c r="D143" s="166"/>
      <c r="E143" s="216"/>
      <c r="F143" s="216"/>
      <c r="G143" s="216"/>
      <c r="H143" s="168"/>
      <c r="I143" s="168"/>
      <c r="J143" s="168"/>
      <c r="K143" s="168"/>
      <c r="L143" s="169"/>
      <c r="M143" s="4">
        <v>0</v>
      </c>
      <c r="N143" s="162" t="str">
        <f t="shared" si="3"/>
        <v/>
      </c>
    </row>
    <row r="144" spans="1:14" ht="19.5" customHeight="1" x14ac:dyDescent="0.2">
      <c r="A144" s="160" t="str">
        <f t="shared" si="2"/>
        <v/>
      </c>
      <c r="B144" s="151" t="s">
        <v>209</v>
      </c>
      <c r="C144" s="166"/>
      <c r="D144" s="166"/>
      <c r="E144" s="216"/>
      <c r="F144" s="216"/>
      <c r="G144" s="216"/>
      <c r="H144" s="168"/>
      <c r="I144" s="168"/>
      <c r="J144" s="168"/>
      <c r="K144" s="168"/>
      <c r="L144" s="169"/>
      <c r="M144" s="4">
        <v>0</v>
      </c>
      <c r="N144" s="162" t="str">
        <f t="shared" si="3"/>
        <v/>
      </c>
    </row>
    <row r="145" spans="1:14" ht="19.5" customHeight="1" x14ac:dyDescent="0.2">
      <c r="A145" s="160" t="str">
        <f t="shared" si="2"/>
        <v/>
      </c>
      <c r="B145" s="151" t="s">
        <v>209</v>
      </c>
      <c r="C145" s="166"/>
      <c r="D145" s="166"/>
      <c r="E145" s="216"/>
      <c r="F145" s="216"/>
      <c r="G145" s="216"/>
      <c r="H145" s="168"/>
      <c r="I145" s="168"/>
      <c r="J145" s="168"/>
      <c r="K145" s="168"/>
      <c r="L145" s="169"/>
      <c r="M145" s="4">
        <v>0</v>
      </c>
      <c r="N145" s="162" t="str">
        <f t="shared" si="3"/>
        <v/>
      </c>
    </row>
    <row r="146" spans="1:14" ht="19.5" customHeight="1" x14ac:dyDescent="0.2">
      <c r="A146" s="160" t="str">
        <f t="shared" si="2"/>
        <v/>
      </c>
      <c r="B146" s="151" t="s">
        <v>209</v>
      </c>
      <c r="C146" s="166"/>
      <c r="D146" s="166"/>
      <c r="E146" s="216"/>
      <c r="F146" s="216"/>
      <c r="G146" s="216"/>
      <c r="H146" s="168"/>
      <c r="I146" s="168"/>
      <c r="J146" s="168"/>
      <c r="K146" s="168"/>
      <c r="L146" s="169"/>
      <c r="M146" s="4">
        <v>0</v>
      </c>
      <c r="N146" s="162" t="str">
        <f t="shared" si="3"/>
        <v/>
      </c>
    </row>
    <row r="147" spans="1:14" ht="19.5" customHeight="1" x14ac:dyDescent="0.2">
      <c r="A147" s="160" t="str">
        <f t="shared" si="2"/>
        <v/>
      </c>
      <c r="B147" s="151" t="s">
        <v>209</v>
      </c>
      <c r="C147" s="166"/>
      <c r="D147" s="166"/>
      <c r="E147" s="216"/>
      <c r="F147" s="216"/>
      <c r="G147" s="216"/>
      <c r="H147" s="168"/>
      <c r="I147" s="168"/>
      <c r="J147" s="168"/>
      <c r="K147" s="168"/>
      <c r="L147" s="169"/>
      <c r="M147" s="4">
        <v>0</v>
      </c>
      <c r="N147" s="162" t="str">
        <f t="shared" si="3"/>
        <v/>
      </c>
    </row>
    <row r="148" spans="1:14" ht="19.5" customHeight="1" x14ac:dyDescent="0.2">
      <c r="A148" s="160" t="str">
        <f t="shared" si="2"/>
        <v/>
      </c>
      <c r="B148" s="151" t="s">
        <v>209</v>
      </c>
      <c r="C148" s="166"/>
      <c r="D148" s="166"/>
      <c r="E148" s="216"/>
      <c r="F148" s="216"/>
      <c r="G148" s="216"/>
      <c r="H148" s="168"/>
      <c r="I148" s="168"/>
      <c r="J148" s="168"/>
      <c r="K148" s="168"/>
      <c r="L148" s="169"/>
      <c r="M148" s="4">
        <v>0</v>
      </c>
      <c r="N148" s="162" t="str">
        <f t="shared" si="3"/>
        <v/>
      </c>
    </row>
    <row r="149" spans="1:14" ht="19.5" customHeight="1" x14ac:dyDescent="0.2">
      <c r="A149" s="160" t="str">
        <f t="shared" si="2"/>
        <v/>
      </c>
      <c r="B149" s="151" t="s">
        <v>209</v>
      </c>
      <c r="C149" s="166"/>
      <c r="D149" s="166"/>
      <c r="E149" s="216"/>
      <c r="F149" s="216"/>
      <c r="G149" s="216"/>
      <c r="H149" s="168"/>
      <c r="I149" s="168"/>
      <c r="J149" s="168"/>
      <c r="K149" s="168"/>
      <c r="L149" s="169"/>
      <c r="M149" s="4">
        <v>0</v>
      </c>
      <c r="N149" s="162" t="str">
        <f t="shared" si="3"/>
        <v/>
      </c>
    </row>
    <row r="150" spans="1:14" ht="19.5" customHeight="1" x14ac:dyDescent="0.2">
      <c r="A150" s="160" t="str">
        <f t="shared" si="2"/>
        <v/>
      </c>
      <c r="B150" s="151" t="s">
        <v>209</v>
      </c>
      <c r="C150" s="166"/>
      <c r="D150" s="166"/>
      <c r="E150" s="216"/>
      <c r="F150" s="216"/>
      <c r="G150" s="216"/>
      <c r="H150" s="168"/>
      <c r="I150" s="168"/>
      <c r="J150" s="168"/>
      <c r="K150" s="168"/>
      <c r="L150" s="169"/>
      <c r="M150" s="4">
        <v>0</v>
      </c>
      <c r="N150" s="162" t="str">
        <f t="shared" si="3"/>
        <v/>
      </c>
    </row>
    <row r="151" spans="1:14" ht="19.5" customHeight="1" x14ac:dyDescent="0.2">
      <c r="A151" s="160" t="str">
        <f t="shared" si="2"/>
        <v/>
      </c>
      <c r="B151" s="151" t="s">
        <v>209</v>
      </c>
      <c r="C151" s="166"/>
      <c r="D151" s="166"/>
      <c r="E151" s="216"/>
      <c r="F151" s="216"/>
      <c r="G151" s="216"/>
      <c r="H151" s="168"/>
      <c r="I151" s="168"/>
      <c r="J151" s="168"/>
      <c r="K151" s="168"/>
      <c r="L151" s="169"/>
      <c r="M151" s="4">
        <v>0</v>
      </c>
      <c r="N151" s="162" t="str">
        <f t="shared" si="3"/>
        <v/>
      </c>
    </row>
    <row r="152" spans="1:14" ht="19.5" customHeight="1" x14ac:dyDescent="0.2">
      <c r="A152" s="160" t="str">
        <f t="shared" si="2"/>
        <v/>
      </c>
      <c r="B152" s="151" t="s">
        <v>209</v>
      </c>
      <c r="C152" s="166"/>
      <c r="D152" s="166"/>
      <c r="E152" s="216"/>
      <c r="F152" s="216"/>
      <c r="G152" s="216"/>
      <c r="H152" s="168"/>
      <c r="I152" s="168"/>
      <c r="J152" s="168"/>
      <c r="K152" s="168"/>
      <c r="L152" s="169"/>
      <c r="M152" s="4">
        <v>0</v>
      </c>
      <c r="N152" s="162" t="str">
        <f t="shared" si="3"/>
        <v/>
      </c>
    </row>
    <row r="153" spans="1:14" ht="19.5" customHeight="1" x14ac:dyDescent="0.2">
      <c r="A153" s="160" t="str">
        <f t="shared" si="2"/>
        <v/>
      </c>
      <c r="B153" s="151" t="s">
        <v>209</v>
      </c>
      <c r="C153" s="166"/>
      <c r="D153" s="166"/>
      <c r="E153" s="216"/>
      <c r="F153" s="216"/>
      <c r="G153" s="216"/>
      <c r="H153" s="168"/>
      <c r="I153" s="168"/>
      <c r="J153" s="168"/>
      <c r="K153" s="168"/>
      <c r="L153" s="169"/>
      <c r="M153" s="4">
        <v>0</v>
      </c>
      <c r="N153" s="162" t="str">
        <f t="shared" si="3"/>
        <v/>
      </c>
    </row>
    <row r="154" spans="1:14" ht="19.5" customHeight="1" x14ac:dyDescent="0.2">
      <c r="A154" s="160" t="str">
        <f t="shared" si="2"/>
        <v/>
      </c>
      <c r="B154" s="151" t="s">
        <v>209</v>
      </c>
      <c r="C154" s="166"/>
      <c r="D154" s="166"/>
      <c r="E154" s="216"/>
      <c r="F154" s="216"/>
      <c r="G154" s="216"/>
      <c r="H154" s="168"/>
      <c r="I154" s="168"/>
      <c r="J154" s="168"/>
      <c r="K154" s="168"/>
      <c r="L154" s="169"/>
      <c r="M154" s="4">
        <v>0</v>
      </c>
      <c r="N154" s="162" t="str">
        <f t="shared" si="3"/>
        <v/>
      </c>
    </row>
    <row r="155" spans="1:14" ht="19.5" customHeight="1" x14ac:dyDescent="0.2">
      <c r="A155" s="160" t="str">
        <f t="shared" si="2"/>
        <v/>
      </c>
      <c r="B155" s="151" t="s">
        <v>209</v>
      </c>
      <c r="C155" s="166"/>
      <c r="D155" s="166"/>
      <c r="E155" s="216"/>
      <c r="F155" s="216"/>
      <c r="G155" s="216"/>
      <c r="H155" s="168"/>
      <c r="I155" s="168"/>
      <c r="J155" s="168"/>
      <c r="K155" s="168"/>
      <c r="L155" s="169"/>
      <c r="M155" s="4">
        <v>0</v>
      </c>
      <c r="N155" s="162" t="str">
        <f t="shared" si="3"/>
        <v/>
      </c>
    </row>
    <row r="156" spans="1:14" ht="19.5" customHeight="1" x14ac:dyDescent="0.2">
      <c r="A156" s="160" t="str">
        <f t="shared" si="2"/>
        <v/>
      </c>
      <c r="B156" s="151" t="s">
        <v>209</v>
      </c>
      <c r="C156" s="166"/>
      <c r="D156" s="166"/>
      <c r="E156" s="216"/>
      <c r="F156" s="216"/>
      <c r="G156" s="216"/>
      <c r="H156" s="168"/>
      <c r="I156" s="168"/>
      <c r="J156" s="168"/>
      <c r="K156" s="168"/>
      <c r="L156" s="169"/>
      <c r="M156" s="4">
        <v>0</v>
      </c>
      <c r="N156" s="162" t="str">
        <f t="shared" si="3"/>
        <v/>
      </c>
    </row>
    <row r="157" spans="1:14" ht="19.5" customHeight="1" x14ac:dyDescent="0.2">
      <c r="A157" s="160" t="str">
        <f t="shared" si="2"/>
        <v/>
      </c>
      <c r="B157" s="151" t="s">
        <v>209</v>
      </c>
      <c r="C157" s="166"/>
      <c r="D157" s="166"/>
      <c r="E157" s="216"/>
      <c r="F157" s="216"/>
      <c r="G157" s="216"/>
      <c r="H157" s="168"/>
      <c r="I157" s="168"/>
      <c r="J157" s="168"/>
      <c r="K157" s="168"/>
      <c r="L157" s="169"/>
      <c r="M157" s="4">
        <v>0</v>
      </c>
      <c r="N157" s="162" t="str">
        <f t="shared" si="3"/>
        <v/>
      </c>
    </row>
    <row r="158" spans="1:14" ht="19.5" customHeight="1" x14ac:dyDescent="0.2">
      <c r="A158" s="160" t="str">
        <f t="shared" si="2"/>
        <v/>
      </c>
      <c r="B158" s="151" t="s">
        <v>209</v>
      </c>
      <c r="C158" s="166"/>
      <c r="D158" s="166"/>
      <c r="E158" s="216"/>
      <c r="F158" s="216"/>
      <c r="G158" s="216"/>
      <c r="H158" s="168"/>
      <c r="I158" s="168"/>
      <c r="J158" s="168"/>
      <c r="K158" s="168"/>
      <c r="L158" s="169"/>
      <c r="M158" s="4">
        <v>0</v>
      </c>
      <c r="N158" s="162" t="str">
        <f t="shared" si="3"/>
        <v/>
      </c>
    </row>
    <row r="159" spans="1:14" ht="19.5" customHeight="1" x14ac:dyDescent="0.2">
      <c r="A159" s="160" t="str">
        <f t="shared" si="2"/>
        <v/>
      </c>
      <c r="B159" s="151" t="s">
        <v>209</v>
      </c>
      <c r="C159" s="166"/>
      <c r="D159" s="166"/>
      <c r="E159" s="216"/>
      <c r="F159" s="216"/>
      <c r="G159" s="216"/>
      <c r="H159" s="168"/>
      <c r="I159" s="168"/>
      <c r="J159" s="168"/>
      <c r="K159" s="168"/>
      <c r="L159" s="169"/>
      <c r="M159" s="4">
        <v>0</v>
      </c>
      <c r="N159" s="162" t="str">
        <f t="shared" si="3"/>
        <v/>
      </c>
    </row>
    <row r="160" spans="1:14" ht="19.5" customHeight="1" x14ac:dyDescent="0.2">
      <c r="A160" s="160" t="str">
        <f t="shared" si="2"/>
        <v/>
      </c>
      <c r="B160" s="151" t="s">
        <v>209</v>
      </c>
      <c r="C160" s="166"/>
      <c r="D160" s="166"/>
      <c r="E160" s="216"/>
      <c r="F160" s="216"/>
      <c r="G160" s="216"/>
      <c r="H160" s="168"/>
      <c r="I160" s="168"/>
      <c r="J160" s="168"/>
      <c r="K160" s="168"/>
      <c r="L160" s="169"/>
      <c r="M160" s="4">
        <v>0</v>
      </c>
      <c r="N160" s="162" t="str">
        <f t="shared" si="3"/>
        <v/>
      </c>
    </row>
    <row r="161" spans="1:14" ht="19.5" customHeight="1" x14ac:dyDescent="0.2">
      <c r="A161" s="160" t="str">
        <f t="shared" si="2"/>
        <v/>
      </c>
      <c r="B161" s="151" t="s">
        <v>209</v>
      </c>
      <c r="C161" s="166"/>
      <c r="D161" s="166"/>
      <c r="E161" s="216"/>
      <c r="F161" s="216"/>
      <c r="G161" s="216"/>
      <c r="H161" s="168"/>
      <c r="I161" s="168"/>
      <c r="J161" s="168"/>
      <c r="K161" s="168"/>
      <c r="L161" s="169"/>
      <c r="M161" s="4">
        <v>0</v>
      </c>
      <c r="N161" s="162" t="str">
        <f t="shared" si="3"/>
        <v/>
      </c>
    </row>
    <row r="162" spans="1:14" ht="19.5" customHeight="1" x14ac:dyDescent="0.2">
      <c r="A162" s="160" t="str">
        <f t="shared" si="2"/>
        <v/>
      </c>
      <c r="B162" s="151" t="s">
        <v>209</v>
      </c>
      <c r="C162" s="166"/>
      <c r="D162" s="166"/>
      <c r="E162" s="216"/>
      <c r="F162" s="216"/>
      <c r="G162" s="216"/>
      <c r="H162" s="168"/>
      <c r="I162" s="168"/>
      <c r="J162" s="168"/>
      <c r="K162" s="168"/>
      <c r="L162" s="169"/>
      <c r="M162" s="4">
        <v>0</v>
      </c>
      <c r="N162" s="162" t="str">
        <f t="shared" si="3"/>
        <v/>
      </c>
    </row>
    <row r="163" spans="1:14" ht="19.5" customHeight="1" x14ac:dyDescent="0.2">
      <c r="A163" s="160" t="str">
        <f t="shared" si="2"/>
        <v/>
      </c>
      <c r="B163" s="151" t="s">
        <v>209</v>
      </c>
      <c r="C163" s="166"/>
      <c r="D163" s="166"/>
      <c r="E163" s="216"/>
      <c r="F163" s="216"/>
      <c r="G163" s="216"/>
      <c r="H163" s="168"/>
      <c r="I163" s="168"/>
      <c r="J163" s="168"/>
      <c r="K163" s="168"/>
      <c r="L163" s="169"/>
      <c r="M163" s="4">
        <v>0</v>
      </c>
      <c r="N163" s="162" t="str">
        <f t="shared" si="3"/>
        <v/>
      </c>
    </row>
    <row r="164" spans="1:14" ht="19.5" customHeight="1" x14ac:dyDescent="0.2">
      <c r="A164" s="160" t="str">
        <f t="shared" si="2"/>
        <v/>
      </c>
      <c r="B164" s="151" t="s">
        <v>209</v>
      </c>
      <c r="C164" s="166"/>
      <c r="D164" s="166"/>
      <c r="E164" s="216"/>
      <c r="F164" s="216"/>
      <c r="G164" s="216"/>
      <c r="H164" s="168"/>
      <c r="I164" s="168"/>
      <c r="J164" s="168"/>
      <c r="K164" s="168"/>
      <c r="L164" s="169"/>
      <c r="M164" s="4">
        <v>0</v>
      </c>
      <c r="N164" s="162" t="str">
        <f t="shared" si="3"/>
        <v/>
      </c>
    </row>
    <row r="165" spans="1:14" ht="19.5" customHeight="1" x14ac:dyDescent="0.2">
      <c r="A165" s="160" t="str">
        <f t="shared" si="2"/>
        <v/>
      </c>
      <c r="B165" s="151" t="s">
        <v>209</v>
      </c>
      <c r="C165" s="166"/>
      <c r="D165" s="166"/>
      <c r="E165" s="216"/>
      <c r="F165" s="216"/>
      <c r="G165" s="216"/>
      <c r="H165" s="168"/>
      <c r="I165" s="168"/>
      <c r="J165" s="168"/>
      <c r="K165" s="168"/>
      <c r="L165" s="169"/>
      <c r="M165" s="4">
        <v>0</v>
      </c>
      <c r="N165" s="162" t="str">
        <f t="shared" si="3"/>
        <v/>
      </c>
    </row>
    <row r="166" spans="1:14" ht="19.5" customHeight="1" x14ac:dyDescent="0.2">
      <c r="A166" s="160" t="str">
        <f t="shared" si="2"/>
        <v/>
      </c>
      <c r="B166" s="151" t="s">
        <v>209</v>
      </c>
      <c r="C166" s="166"/>
      <c r="D166" s="166"/>
      <c r="E166" s="216"/>
      <c r="F166" s="216"/>
      <c r="G166" s="216"/>
      <c r="H166" s="168"/>
      <c r="I166" s="168"/>
      <c r="J166" s="168"/>
      <c r="K166" s="168"/>
      <c r="L166" s="169"/>
      <c r="M166" s="4">
        <v>0</v>
      </c>
      <c r="N166" s="162" t="str">
        <f t="shared" si="3"/>
        <v/>
      </c>
    </row>
    <row r="167" spans="1:14" ht="19.5" customHeight="1" x14ac:dyDescent="0.2">
      <c r="A167" s="160" t="str">
        <f t="shared" si="2"/>
        <v/>
      </c>
      <c r="B167" s="151" t="s">
        <v>209</v>
      </c>
      <c r="C167" s="166"/>
      <c r="D167" s="166"/>
      <c r="E167" s="216"/>
      <c r="F167" s="216"/>
      <c r="G167" s="216"/>
      <c r="H167" s="168"/>
      <c r="I167" s="168"/>
      <c r="J167" s="168"/>
      <c r="K167" s="168"/>
      <c r="L167" s="169"/>
      <c r="M167" s="4">
        <v>0</v>
      </c>
      <c r="N167" s="162" t="str">
        <f t="shared" si="3"/>
        <v/>
      </c>
    </row>
    <row r="168" spans="1:14" ht="19.5" customHeight="1" x14ac:dyDescent="0.2">
      <c r="A168" s="160" t="str">
        <f t="shared" si="2"/>
        <v/>
      </c>
      <c r="B168" s="151" t="s">
        <v>209</v>
      </c>
      <c r="C168" s="166"/>
      <c r="D168" s="166"/>
      <c r="E168" s="216"/>
      <c r="F168" s="216"/>
      <c r="G168" s="216"/>
      <c r="H168" s="168"/>
      <c r="I168" s="168"/>
      <c r="J168" s="168"/>
      <c r="K168" s="168"/>
      <c r="L168" s="169"/>
      <c r="M168" s="4">
        <v>0</v>
      </c>
      <c r="N168" s="162" t="str">
        <f t="shared" si="3"/>
        <v/>
      </c>
    </row>
    <row r="169" spans="1:14" ht="19.5" customHeight="1" x14ac:dyDescent="0.2">
      <c r="A169" s="160" t="str">
        <f t="shared" si="2"/>
        <v/>
      </c>
      <c r="B169" s="151" t="s">
        <v>209</v>
      </c>
      <c r="C169" s="166"/>
      <c r="D169" s="166"/>
      <c r="E169" s="216"/>
      <c r="F169" s="216"/>
      <c r="G169" s="216"/>
      <c r="H169" s="168"/>
      <c r="I169" s="168"/>
      <c r="J169" s="168"/>
      <c r="K169" s="168"/>
      <c r="L169" s="169"/>
      <c r="M169" s="4">
        <v>0</v>
      </c>
      <c r="N169" s="162" t="str">
        <f t="shared" si="3"/>
        <v/>
      </c>
    </row>
    <row r="170" spans="1:14" ht="19.5" customHeight="1" x14ac:dyDescent="0.2">
      <c r="A170" s="160" t="str">
        <f t="shared" si="2"/>
        <v/>
      </c>
      <c r="B170" s="151" t="s">
        <v>209</v>
      </c>
      <c r="C170" s="166"/>
      <c r="D170" s="166"/>
      <c r="E170" s="216"/>
      <c r="F170" s="216"/>
      <c r="G170" s="216"/>
      <c r="H170" s="168"/>
      <c r="I170" s="168"/>
      <c r="J170" s="168"/>
      <c r="K170" s="168"/>
      <c r="L170" s="169"/>
      <c r="M170" s="4">
        <v>0</v>
      </c>
      <c r="N170" s="162" t="str">
        <f t="shared" si="3"/>
        <v/>
      </c>
    </row>
    <row r="171" spans="1:14" ht="19.5" customHeight="1" x14ac:dyDescent="0.2">
      <c r="A171" s="160" t="str">
        <f t="shared" si="2"/>
        <v/>
      </c>
      <c r="B171" s="151" t="s">
        <v>209</v>
      </c>
      <c r="C171" s="166"/>
      <c r="D171" s="166"/>
      <c r="E171" s="216"/>
      <c r="F171" s="216"/>
      <c r="G171" s="216"/>
      <c r="H171" s="168"/>
      <c r="I171" s="168"/>
      <c r="J171" s="168"/>
      <c r="K171" s="168"/>
      <c r="L171" s="169"/>
      <c r="M171" s="4">
        <v>0</v>
      </c>
      <c r="N171" s="162" t="str">
        <f t="shared" si="3"/>
        <v/>
      </c>
    </row>
    <row r="172" spans="1:14" ht="19.5" customHeight="1" x14ac:dyDescent="0.2">
      <c r="A172" s="160" t="str">
        <f t="shared" ref="A172:A192" si="4">IF(ROW(A172)-42&lt;=$E$14,ROW(A172)-42,"")</f>
        <v/>
      </c>
      <c r="B172" s="151" t="s">
        <v>209</v>
      </c>
      <c r="C172" s="166"/>
      <c r="D172" s="166"/>
      <c r="E172" s="216"/>
      <c r="F172" s="216"/>
      <c r="G172" s="216"/>
      <c r="H172" s="168"/>
      <c r="I172" s="168"/>
      <c r="J172" s="168"/>
      <c r="K172" s="168"/>
      <c r="L172" s="169"/>
      <c r="M172" s="4">
        <v>0</v>
      </c>
      <c r="N172" s="162" t="str">
        <f t="shared" ref="N172:N192" si="5">IF(M172&gt;0,IF(M172&lt;10,"Sample Name can have letters, numbers, and dash (-) only. No spaces or other characters please!","Sample Names must be unique!"),"")</f>
        <v/>
      </c>
    </row>
    <row r="173" spans="1:14" ht="19.5" customHeight="1" x14ac:dyDescent="0.2">
      <c r="A173" s="160" t="str">
        <f t="shared" si="4"/>
        <v/>
      </c>
      <c r="B173" s="151" t="s">
        <v>209</v>
      </c>
      <c r="C173" s="166"/>
      <c r="D173" s="166"/>
      <c r="E173" s="216"/>
      <c r="F173" s="216"/>
      <c r="G173" s="216"/>
      <c r="H173" s="168"/>
      <c r="I173" s="168"/>
      <c r="J173" s="168"/>
      <c r="K173" s="168"/>
      <c r="L173" s="169"/>
      <c r="M173" s="4">
        <v>0</v>
      </c>
      <c r="N173" s="162" t="str">
        <f t="shared" si="5"/>
        <v/>
      </c>
    </row>
    <row r="174" spans="1:14" ht="19.5" customHeight="1" x14ac:dyDescent="0.2">
      <c r="A174" s="160" t="str">
        <f t="shared" si="4"/>
        <v/>
      </c>
      <c r="B174" s="151" t="s">
        <v>209</v>
      </c>
      <c r="C174" s="166"/>
      <c r="D174" s="166"/>
      <c r="E174" s="216"/>
      <c r="F174" s="216"/>
      <c r="G174" s="216"/>
      <c r="H174" s="168"/>
      <c r="I174" s="168"/>
      <c r="J174" s="168"/>
      <c r="K174" s="168"/>
      <c r="L174" s="169"/>
      <c r="M174" s="4">
        <v>0</v>
      </c>
      <c r="N174" s="162" t="str">
        <f t="shared" si="5"/>
        <v/>
      </c>
    </row>
    <row r="175" spans="1:14" ht="19.5" customHeight="1" x14ac:dyDescent="0.2">
      <c r="A175" s="160" t="str">
        <f t="shared" si="4"/>
        <v/>
      </c>
      <c r="B175" s="151" t="s">
        <v>209</v>
      </c>
      <c r="C175" s="166"/>
      <c r="D175" s="166"/>
      <c r="E175" s="216"/>
      <c r="F175" s="216"/>
      <c r="G175" s="216"/>
      <c r="H175" s="168"/>
      <c r="I175" s="168"/>
      <c r="J175" s="168"/>
      <c r="K175" s="168"/>
      <c r="L175" s="169"/>
      <c r="M175" s="4">
        <v>0</v>
      </c>
      <c r="N175" s="162" t="str">
        <f t="shared" si="5"/>
        <v/>
      </c>
    </row>
    <row r="176" spans="1:14" ht="19.5" customHeight="1" x14ac:dyDescent="0.2">
      <c r="A176" s="160" t="str">
        <f t="shared" si="4"/>
        <v/>
      </c>
      <c r="B176" s="151" t="s">
        <v>209</v>
      </c>
      <c r="C176" s="166"/>
      <c r="D176" s="166"/>
      <c r="E176" s="216"/>
      <c r="F176" s="216"/>
      <c r="G176" s="216"/>
      <c r="H176" s="168"/>
      <c r="I176" s="168"/>
      <c r="J176" s="168"/>
      <c r="K176" s="168"/>
      <c r="L176" s="169"/>
      <c r="M176" s="4">
        <v>0</v>
      </c>
      <c r="N176" s="162" t="str">
        <f t="shared" si="5"/>
        <v/>
      </c>
    </row>
    <row r="177" spans="1:14" ht="19.5" customHeight="1" x14ac:dyDescent="0.2">
      <c r="A177" s="160" t="str">
        <f t="shared" si="4"/>
        <v/>
      </c>
      <c r="B177" s="151" t="s">
        <v>209</v>
      </c>
      <c r="C177" s="166"/>
      <c r="D177" s="166"/>
      <c r="E177" s="216"/>
      <c r="F177" s="216"/>
      <c r="G177" s="216"/>
      <c r="H177" s="168"/>
      <c r="I177" s="168"/>
      <c r="J177" s="168"/>
      <c r="K177" s="168"/>
      <c r="L177" s="169"/>
      <c r="M177" s="4">
        <v>0</v>
      </c>
      <c r="N177" s="162" t="str">
        <f t="shared" si="5"/>
        <v/>
      </c>
    </row>
    <row r="178" spans="1:14" ht="19.5" customHeight="1" x14ac:dyDescent="0.2">
      <c r="A178" s="160" t="str">
        <f t="shared" si="4"/>
        <v/>
      </c>
      <c r="B178" s="151" t="s">
        <v>209</v>
      </c>
      <c r="C178" s="166"/>
      <c r="D178" s="166"/>
      <c r="E178" s="216"/>
      <c r="F178" s="216"/>
      <c r="G178" s="216"/>
      <c r="H178" s="168"/>
      <c r="I178" s="168"/>
      <c r="J178" s="168"/>
      <c r="K178" s="168"/>
      <c r="L178" s="169"/>
      <c r="M178" s="4">
        <v>0</v>
      </c>
      <c r="N178" s="162" t="str">
        <f t="shared" si="5"/>
        <v/>
      </c>
    </row>
    <row r="179" spans="1:14" ht="19.5" customHeight="1" x14ac:dyDescent="0.2">
      <c r="A179" s="160" t="str">
        <f t="shared" si="4"/>
        <v/>
      </c>
      <c r="B179" s="151" t="s">
        <v>209</v>
      </c>
      <c r="C179" s="166"/>
      <c r="D179" s="166"/>
      <c r="E179" s="216"/>
      <c r="F179" s="216"/>
      <c r="G179" s="216"/>
      <c r="H179" s="168"/>
      <c r="I179" s="168"/>
      <c r="J179" s="168"/>
      <c r="K179" s="168"/>
      <c r="L179" s="169"/>
      <c r="M179" s="4">
        <v>0</v>
      </c>
      <c r="N179" s="162" t="str">
        <f t="shared" si="5"/>
        <v/>
      </c>
    </row>
    <row r="180" spans="1:14" ht="19.5" customHeight="1" x14ac:dyDescent="0.2">
      <c r="A180" s="160" t="str">
        <f t="shared" si="4"/>
        <v/>
      </c>
      <c r="B180" s="151" t="s">
        <v>209</v>
      </c>
      <c r="C180" s="166"/>
      <c r="D180" s="166"/>
      <c r="E180" s="216"/>
      <c r="F180" s="216"/>
      <c r="G180" s="216"/>
      <c r="H180" s="168"/>
      <c r="I180" s="168"/>
      <c r="J180" s="168"/>
      <c r="K180" s="168"/>
      <c r="L180" s="169"/>
      <c r="M180" s="4">
        <v>0</v>
      </c>
      <c r="N180" s="162" t="str">
        <f t="shared" si="5"/>
        <v/>
      </c>
    </row>
    <row r="181" spans="1:14" ht="19.5" customHeight="1" x14ac:dyDescent="0.2">
      <c r="A181" s="160" t="str">
        <f t="shared" si="4"/>
        <v/>
      </c>
      <c r="B181" s="151" t="s">
        <v>209</v>
      </c>
      <c r="C181" s="166"/>
      <c r="D181" s="166"/>
      <c r="E181" s="216"/>
      <c r="F181" s="216"/>
      <c r="G181" s="216"/>
      <c r="H181" s="168"/>
      <c r="I181" s="168"/>
      <c r="J181" s="168"/>
      <c r="K181" s="168"/>
      <c r="L181" s="169"/>
      <c r="M181" s="4">
        <v>0</v>
      </c>
      <c r="N181" s="162" t="str">
        <f t="shared" si="5"/>
        <v/>
      </c>
    </row>
    <row r="182" spans="1:14" ht="19.5" customHeight="1" x14ac:dyDescent="0.2">
      <c r="A182" s="160" t="str">
        <f t="shared" si="4"/>
        <v/>
      </c>
      <c r="B182" s="151" t="s">
        <v>209</v>
      </c>
      <c r="C182" s="166"/>
      <c r="D182" s="166"/>
      <c r="E182" s="216"/>
      <c r="F182" s="216"/>
      <c r="G182" s="216"/>
      <c r="H182" s="168"/>
      <c r="I182" s="168"/>
      <c r="J182" s="168"/>
      <c r="K182" s="168"/>
      <c r="L182" s="169"/>
      <c r="M182" s="4">
        <v>0</v>
      </c>
      <c r="N182" s="162" t="str">
        <f t="shared" si="5"/>
        <v/>
      </c>
    </row>
    <row r="183" spans="1:14" ht="19.5" customHeight="1" x14ac:dyDescent="0.2">
      <c r="A183" s="160" t="str">
        <f t="shared" si="4"/>
        <v/>
      </c>
      <c r="B183" s="151" t="s">
        <v>209</v>
      </c>
      <c r="C183" s="166"/>
      <c r="D183" s="166"/>
      <c r="E183" s="216"/>
      <c r="F183" s="216"/>
      <c r="G183" s="216"/>
      <c r="H183" s="168"/>
      <c r="I183" s="168"/>
      <c r="J183" s="168"/>
      <c r="K183" s="168"/>
      <c r="L183" s="169"/>
      <c r="M183" s="4">
        <v>0</v>
      </c>
      <c r="N183" s="162" t="str">
        <f t="shared" si="5"/>
        <v/>
      </c>
    </row>
    <row r="184" spans="1:14" ht="19.5" customHeight="1" x14ac:dyDescent="0.2">
      <c r="A184" s="160" t="str">
        <f t="shared" si="4"/>
        <v/>
      </c>
      <c r="B184" s="151" t="s">
        <v>209</v>
      </c>
      <c r="C184" s="166"/>
      <c r="D184" s="166"/>
      <c r="E184" s="216"/>
      <c r="F184" s="216"/>
      <c r="G184" s="216"/>
      <c r="H184" s="168"/>
      <c r="I184" s="168"/>
      <c r="J184" s="168"/>
      <c r="K184" s="168"/>
      <c r="L184" s="169"/>
      <c r="M184" s="4">
        <v>0</v>
      </c>
      <c r="N184" s="162" t="str">
        <f t="shared" si="5"/>
        <v/>
      </c>
    </row>
    <row r="185" spans="1:14" ht="19.5" customHeight="1" x14ac:dyDescent="0.2">
      <c r="A185" s="160" t="str">
        <f t="shared" si="4"/>
        <v/>
      </c>
      <c r="B185" s="151" t="s">
        <v>209</v>
      </c>
      <c r="C185" s="166"/>
      <c r="D185" s="166"/>
      <c r="E185" s="216"/>
      <c r="F185" s="216"/>
      <c r="G185" s="216"/>
      <c r="H185" s="168"/>
      <c r="I185" s="168"/>
      <c r="J185" s="168"/>
      <c r="K185" s="168"/>
      <c r="L185" s="169"/>
      <c r="M185" s="4">
        <v>0</v>
      </c>
      <c r="N185" s="162" t="str">
        <f t="shared" si="5"/>
        <v/>
      </c>
    </row>
    <row r="186" spans="1:14" ht="19.5" customHeight="1" x14ac:dyDescent="0.2">
      <c r="A186" s="160" t="str">
        <f t="shared" si="4"/>
        <v/>
      </c>
      <c r="B186" s="151" t="s">
        <v>209</v>
      </c>
      <c r="C186" s="166"/>
      <c r="D186" s="166"/>
      <c r="E186" s="216"/>
      <c r="F186" s="216"/>
      <c r="G186" s="216"/>
      <c r="H186" s="168"/>
      <c r="I186" s="168"/>
      <c r="J186" s="168"/>
      <c r="K186" s="168"/>
      <c r="L186" s="169"/>
      <c r="M186" s="4">
        <v>0</v>
      </c>
      <c r="N186" s="162" t="str">
        <f t="shared" si="5"/>
        <v/>
      </c>
    </row>
    <row r="187" spans="1:14" ht="19.5" customHeight="1" x14ac:dyDescent="0.2">
      <c r="A187" s="160" t="str">
        <f t="shared" si="4"/>
        <v/>
      </c>
      <c r="B187" s="151" t="s">
        <v>209</v>
      </c>
      <c r="C187" s="166"/>
      <c r="D187" s="166"/>
      <c r="E187" s="216"/>
      <c r="F187" s="216"/>
      <c r="G187" s="216"/>
      <c r="H187" s="168"/>
      <c r="I187" s="168"/>
      <c r="J187" s="168"/>
      <c r="K187" s="168"/>
      <c r="L187" s="169"/>
      <c r="M187" s="4">
        <v>0</v>
      </c>
      <c r="N187" s="162" t="str">
        <f t="shared" si="5"/>
        <v/>
      </c>
    </row>
    <row r="188" spans="1:14" ht="19.5" customHeight="1" x14ac:dyDescent="0.2">
      <c r="A188" s="160" t="str">
        <f t="shared" si="4"/>
        <v/>
      </c>
      <c r="B188" s="151" t="s">
        <v>209</v>
      </c>
      <c r="C188" s="166"/>
      <c r="D188" s="166"/>
      <c r="E188" s="216"/>
      <c r="F188" s="216"/>
      <c r="G188" s="216"/>
      <c r="H188" s="168"/>
      <c r="I188" s="168"/>
      <c r="J188" s="168"/>
      <c r="K188" s="168"/>
      <c r="L188" s="169"/>
      <c r="M188" s="4">
        <v>0</v>
      </c>
      <c r="N188" s="162" t="str">
        <f t="shared" si="5"/>
        <v/>
      </c>
    </row>
    <row r="189" spans="1:14" ht="19.5" customHeight="1" x14ac:dyDescent="0.2">
      <c r="A189" s="160" t="str">
        <f t="shared" si="4"/>
        <v/>
      </c>
      <c r="B189" s="151" t="s">
        <v>209</v>
      </c>
      <c r="C189" s="166"/>
      <c r="D189" s="166"/>
      <c r="E189" s="216"/>
      <c r="F189" s="216"/>
      <c r="G189" s="216"/>
      <c r="H189" s="168"/>
      <c r="I189" s="168"/>
      <c r="J189" s="168"/>
      <c r="K189" s="168"/>
      <c r="L189" s="169"/>
      <c r="M189" s="4">
        <v>0</v>
      </c>
      <c r="N189" s="162" t="str">
        <f t="shared" si="5"/>
        <v/>
      </c>
    </row>
    <row r="190" spans="1:14" ht="19.5" customHeight="1" x14ac:dyDescent="0.2">
      <c r="A190" s="160" t="str">
        <f t="shared" si="4"/>
        <v/>
      </c>
      <c r="B190" s="151" t="s">
        <v>209</v>
      </c>
      <c r="C190" s="166"/>
      <c r="D190" s="166"/>
      <c r="E190" s="216"/>
      <c r="F190" s="216"/>
      <c r="G190" s="216"/>
      <c r="H190" s="168"/>
      <c r="I190" s="168"/>
      <c r="J190" s="168"/>
      <c r="K190" s="168"/>
      <c r="L190" s="169"/>
      <c r="M190" s="4">
        <v>0</v>
      </c>
      <c r="N190" s="162" t="str">
        <f t="shared" si="5"/>
        <v/>
      </c>
    </row>
    <row r="191" spans="1:14" ht="19.5" customHeight="1" x14ac:dyDescent="0.2">
      <c r="A191" s="160" t="str">
        <f t="shared" si="4"/>
        <v/>
      </c>
      <c r="B191" s="151" t="s">
        <v>209</v>
      </c>
      <c r="C191" s="166"/>
      <c r="D191" s="166"/>
      <c r="E191" s="216"/>
      <c r="F191" s="216"/>
      <c r="G191" s="216"/>
      <c r="H191" s="168"/>
      <c r="I191" s="168"/>
      <c r="J191" s="168"/>
      <c r="K191" s="168"/>
      <c r="L191" s="169"/>
      <c r="M191" s="4">
        <v>0</v>
      </c>
      <c r="N191" s="162" t="str">
        <f t="shared" si="5"/>
        <v/>
      </c>
    </row>
    <row r="192" spans="1:14" ht="19.5" customHeight="1" x14ac:dyDescent="0.2">
      <c r="A192" s="160" t="str">
        <f t="shared" si="4"/>
        <v/>
      </c>
      <c r="B192" s="151" t="s">
        <v>209</v>
      </c>
      <c r="C192" s="166"/>
      <c r="D192" s="166"/>
      <c r="E192" s="216"/>
      <c r="F192" s="216"/>
      <c r="G192" s="216"/>
      <c r="H192" s="168"/>
      <c r="I192" s="168"/>
      <c r="J192" s="168"/>
      <c r="K192" s="168"/>
      <c r="L192" s="169"/>
      <c r="M192" s="4">
        <v>0</v>
      </c>
      <c r="N192" s="162" t="str">
        <f t="shared" si="5"/>
        <v/>
      </c>
    </row>
    <row r="193" spans="1:13" x14ac:dyDescent="0.2">
      <c r="A193" s="158" t="s">
        <v>152</v>
      </c>
      <c r="B193" s="158" t="s">
        <v>152</v>
      </c>
      <c r="C193" s="158" t="s">
        <v>152</v>
      </c>
      <c r="D193" s="158" t="s">
        <v>152</v>
      </c>
      <c r="E193" s="158" t="s">
        <v>152</v>
      </c>
      <c r="F193" s="158" t="s">
        <v>152</v>
      </c>
      <c r="G193" s="158" t="s">
        <v>152</v>
      </c>
      <c r="H193" s="158" t="s">
        <v>152</v>
      </c>
      <c r="I193" s="158" t="s">
        <v>152</v>
      </c>
      <c r="J193" s="158" t="s">
        <v>152</v>
      </c>
      <c r="K193" s="158" t="s">
        <v>152</v>
      </c>
      <c r="L193" s="158" t="s">
        <v>152</v>
      </c>
      <c r="M193" s="158" t="s">
        <v>152</v>
      </c>
    </row>
    <row r="195" spans="1:13" x14ac:dyDescent="0.2">
      <c r="A195" s="159" t="s">
        <v>153</v>
      </c>
    </row>
  </sheetData>
  <sheetProtection sheet="1" objects="1" scenarios="1" selectLockedCells="1"/>
  <mergeCells count="527">
    <mergeCell ref="C191:D191"/>
    <mergeCell ref="H191:I191"/>
    <mergeCell ref="J191:K191"/>
    <mergeCell ref="C192:D192"/>
    <mergeCell ref="H192:I192"/>
    <mergeCell ref="J192:K192"/>
    <mergeCell ref="C189:D189"/>
    <mergeCell ref="H189:I189"/>
    <mergeCell ref="J189:K189"/>
    <mergeCell ref="C190:D190"/>
    <mergeCell ref="H190:I190"/>
    <mergeCell ref="J190:K190"/>
    <mergeCell ref="C187:D187"/>
    <mergeCell ref="H187:I187"/>
    <mergeCell ref="J187:K187"/>
    <mergeCell ref="C188:D188"/>
    <mergeCell ref="H188:I188"/>
    <mergeCell ref="J188:K188"/>
    <mergeCell ref="C185:D185"/>
    <mergeCell ref="H185:I185"/>
    <mergeCell ref="J185:K185"/>
    <mergeCell ref="C186:D186"/>
    <mergeCell ref="H186:I186"/>
    <mergeCell ref="J186:K186"/>
    <mergeCell ref="C183:D183"/>
    <mergeCell ref="H183:I183"/>
    <mergeCell ref="J183:K183"/>
    <mergeCell ref="C184:D184"/>
    <mergeCell ref="H184:I184"/>
    <mergeCell ref="J184:K184"/>
    <mergeCell ref="C181:D181"/>
    <mergeCell ref="H181:I181"/>
    <mergeCell ref="J181:K181"/>
    <mergeCell ref="C182:D182"/>
    <mergeCell ref="H182:I182"/>
    <mergeCell ref="J182:K182"/>
    <mergeCell ref="C179:D179"/>
    <mergeCell ref="H179:I179"/>
    <mergeCell ref="J179:K179"/>
    <mergeCell ref="C180:D180"/>
    <mergeCell ref="H180:I180"/>
    <mergeCell ref="J180:K180"/>
    <mergeCell ref="C177:D177"/>
    <mergeCell ref="H177:I177"/>
    <mergeCell ref="J177:K177"/>
    <mergeCell ref="C178:D178"/>
    <mergeCell ref="H178:I178"/>
    <mergeCell ref="J178:K178"/>
    <mergeCell ref="C175:D175"/>
    <mergeCell ref="H175:I175"/>
    <mergeCell ref="J175:K175"/>
    <mergeCell ref="C176:D176"/>
    <mergeCell ref="H176:I176"/>
    <mergeCell ref="J176:K176"/>
    <mergeCell ref="C173:D173"/>
    <mergeCell ref="H173:I173"/>
    <mergeCell ref="J173:K173"/>
    <mergeCell ref="C174:D174"/>
    <mergeCell ref="H174:I174"/>
    <mergeCell ref="J174:K174"/>
    <mergeCell ref="C171:D171"/>
    <mergeCell ref="H171:I171"/>
    <mergeCell ref="J171:K171"/>
    <mergeCell ref="C172:D172"/>
    <mergeCell ref="H172:I172"/>
    <mergeCell ref="J172:K172"/>
    <mergeCell ref="C169:D169"/>
    <mergeCell ref="H169:I169"/>
    <mergeCell ref="J169:K169"/>
    <mergeCell ref="C170:D170"/>
    <mergeCell ref="H170:I170"/>
    <mergeCell ref="J170:K170"/>
    <mergeCell ref="C167:D167"/>
    <mergeCell ref="H167:I167"/>
    <mergeCell ref="J167:K167"/>
    <mergeCell ref="C168:D168"/>
    <mergeCell ref="H168:I168"/>
    <mergeCell ref="J168:K168"/>
    <mergeCell ref="C165:D165"/>
    <mergeCell ref="H165:I165"/>
    <mergeCell ref="J165:K165"/>
    <mergeCell ref="C166:D166"/>
    <mergeCell ref="H166:I166"/>
    <mergeCell ref="J166:K166"/>
    <mergeCell ref="C163:D163"/>
    <mergeCell ref="H163:I163"/>
    <mergeCell ref="J163:K163"/>
    <mergeCell ref="C164:D164"/>
    <mergeCell ref="H164:I164"/>
    <mergeCell ref="J164:K164"/>
    <mergeCell ref="C161:D161"/>
    <mergeCell ref="H161:I161"/>
    <mergeCell ref="J161:K161"/>
    <mergeCell ref="C162:D162"/>
    <mergeCell ref="H162:I162"/>
    <mergeCell ref="J162:K162"/>
    <mergeCell ref="C159:D159"/>
    <mergeCell ref="H159:I159"/>
    <mergeCell ref="J159:K159"/>
    <mergeCell ref="C160:D160"/>
    <mergeCell ref="H160:I160"/>
    <mergeCell ref="J160:K160"/>
    <mergeCell ref="C157:D157"/>
    <mergeCell ref="H157:I157"/>
    <mergeCell ref="J157:K157"/>
    <mergeCell ref="C158:D158"/>
    <mergeCell ref="H158:I158"/>
    <mergeCell ref="J158:K158"/>
    <mergeCell ref="C155:D155"/>
    <mergeCell ref="H155:I155"/>
    <mergeCell ref="J155:K155"/>
    <mergeCell ref="C156:D156"/>
    <mergeCell ref="H156:I156"/>
    <mergeCell ref="J156:K156"/>
    <mergeCell ref="C153:D153"/>
    <mergeCell ref="H153:I153"/>
    <mergeCell ref="J153:K153"/>
    <mergeCell ref="C154:D154"/>
    <mergeCell ref="H154:I154"/>
    <mergeCell ref="J154:K154"/>
    <mergeCell ref="C151:D151"/>
    <mergeCell ref="H151:I151"/>
    <mergeCell ref="J151:K151"/>
    <mergeCell ref="C152:D152"/>
    <mergeCell ref="H152:I152"/>
    <mergeCell ref="J152:K152"/>
    <mergeCell ref="C149:D149"/>
    <mergeCell ref="H149:I149"/>
    <mergeCell ref="J149:K149"/>
    <mergeCell ref="C150:D150"/>
    <mergeCell ref="H150:I150"/>
    <mergeCell ref="J150:K150"/>
    <mergeCell ref="C147:D147"/>
    <mergeCell ref="H147:I147"/>
    <mergeCell ref="J147:K147"/>
    <mergeCell ref="C148:D148"/>
    <mergeCell ref="H148:I148"/>
    <mergeCell ref="J148:K148"/>
    <mergeCell ref="C145:D145"/>
    <mergeCell ref="H145:I145"/>
    <mergeCell ref="J145:K145"/>
    <mergeCell ref="C146:D146"/>
    <mergeCell ref="H146:I146"/>
    <mergeCell ref="J146:K146"/>
    <mergeCell ref="C143:D143"/>
    <mergeCell ref="H143:I143"/>
    <mergeCell ref="J143:K143"/>
    <mergeCell ref="C144:D144"/>
    <mergeCell ref="H144:I144"/>
    <mergeCell ref="J144:K144"/>
    <mergeCell ref="C141:D141"/>
    <mergeCell ref="H141:I141"/>
    <mergeCell ref="J141:K141"/>
    <mergeCell ref="C142:D142"/>
    <mergeCell ref="H142:I142"/>
    <mergeCell ref="J142:K142"/>
    <mergeCell ref="C139:D139"/>
    <mergeCell ref="H139:I139"/>
    <mergeCell ref="J139:K139"/>
    <mergeCell ref="C140:D140"/>
    <mergeCell ref="H140:I140"/>
    <mergeCell ref="J140:K140"/>
    <mergeCell ref="C137:D137"/>
    <mergeCell ref="H137:I137"/>
    <mergeCell ref="J137:K137"/>
    <mergeCell ref="C138:D138"/>
    <mergeCell ref="H138:I138"/>
    <mergeCell ref="J138:K138"/>
    <mergeCell ref="C135:D135"/>
    <mergeCell ref="H135:I135"/>
    <mergeCell ref="J135:K135"/>
    <mergeCell ref="C136:D136"/>
    <mergeCell ref="H136:I136"/>
    <mergeCell ref="J136:K136"/>
    <mergeCell ref="C133:D133"/>
    <mergeCell ref="H133:I133"/>
    <mergeCell ref="J133:K133"/>
    <mergeCell ref="C134:D134"/>
    <mergeCell ref="H134:I134"/>
    <mergeCell ref="J134:K134"/>
    <mergeCell ref="C131:D131"/>
    <mergeCell ref="H131:I131"/>
    <mergeCell ref="J131:K131"/>
    <mergeCell ref="C132:D132"/>
    <mergeCell ref="H132:I132"/>
    <mergeCell ref="J132:K132"/>
    <mergeCell ref="C129:D129"/>
    <mergeCell ref="H129:I129"/>
    <mergeCell ref="J129:K129"/>
    <mergeCell ref="C130:D130"/>
    <mergeCell ref="H130:I130"/>
    <mergeCell ref="J130:K130"/>
    <mergeCell ref="C127:D127"/>
    <mergeCell ref="H127:I127"/>
    <mergeCell ref="J127:K127"/>
    <mergeCell ref="C128:D128"/>
    <mergeCell ref="H128:I128"/>
    <mergeCell ref="J128:K128"/>
    <mergeCell ref="C125:D125"/>
    <mergeCell ref="H125:I125"/>
    <mergeCell ref="J125:K125"/>
    <mergeCell ref="C126:D126"/>
    <mergeCell ref="H126:I126"/>
    <mergeCell ref="J126:K126"/>
    <mergeCell ref="C123:D123"/>
    <mergeCell ref="H123:I123"/>
    <mergeCell ref="J123:K123"/>
    <mergeCell ref="C124:D124"/>
    <mergeCell ref="H124:I124"/>
    <mergeCell ref="J124:K124"/>
    <mergeCell ref="C121:D121"/>
    <mergeCell ref="H121:I121"/>
    <mergeCell ref="J121:K121"/>
    <mergeCell ref="C122:D122"/>
    <mergeCell ref="H122:I122"/>
    <mergeCell ref="J122:K122"/>
    <mergeCell ref="C119:D119"/>
    <mergeCell ref="H119:I119"/>
    <mergeCell ref="J119:K119"/>
    <mergeCell ref="C120:D120"/>
    <mergeCell ref="H120:I120"/>
    <mergeCell ref="J120:K120"/>
    <mergeCell ref="C117:D117"/>
    <mergeCell ref="H117:I117"/>
    <mergeCell ref="J117:K117"/>
    <mergeCell ref="C118:D118"/>
    <mergeCell ref="H118:I118"/>
    <mergeCell ref="J118:K118"/>
    <mergeCell ref="C115:D115"/>
    <mergeCell ref="H115:I115"/>
    <mergeCell ref="J115:K115"/>
    <mergeCell ref="C116:D116"/>
    <mergeCell ref="H116:I116"/>
    <mergeCell ref="J116:K116"/>
    <mergeCell ref="C113:D113"/>
    <mergeCell ref="H113:I113"/>
    <mergeCell ref="J113:K113"/>
    <mergeCell ref="C114:D114"/>
    <mergeCell ref="H114:I114"/>
    <mergeCell ref="J114:K114"/>
    <mergeCell ref="C111:D111"/>
    <mergeCell ref="H111:I111"/>
    <mergeCell ref="J111:K111"/>
    <mergeCell ref="C112:D112"/>
    <mergeCell ref="H112:I112"/>
    <mergeCell ref="J112:K112"/>
    <mergeCell ref="C109:D109"/>
    <mergeCell ref="H109:I109"/>
    <mergeCell ref="J109:K109"/>
    <mergeCell ref="C110:D110"/>
    <mergeCell ref="H110:I110"/>
    <mergeCell ref="J110:K110"/>
    <mergeCell ref="C107:D107"/>
    <mergeCell ref="H107:I107"/>
    <mergeCell ref="J107:K107"/>
    <mergeCell ref="C108:D108"/>
    <mergeCell ref="H108:I108"/>
    <mergeCell ref="J108:K108"/>
    <mergeCell ref="C105:D105"/>
    <mergeCell ref="H105:I105"/>
    <mergeCell ref="J105:K105"/>
    <mergeCell ref="C106:D106"/>
    <mergeCell ref="H106:I106"/>
    <mergeCell ref="J106:K106"/>
    <mergeCell ref="C103:D103"/>
    <mergeCell ref="H103:I103"/>
    <mergeCell ref="J103:K103"/>
    <mergeCell ref="C104:D104"/>
    <mergeCell ref="H104:I104"/>
    <mergeCell ref="J104:K104"/>
    <mergeCell ref="C101:D101"/>
    <mergeCell ref="H101:I101"/>
    <mergeCell ref="J101:K101"/>
    <mergeCell ref="C102:D102"/>
    <mergeCell ref="H102:I102"/>
    <mergeCell ref="J102:K102"/>
    <mergeCell ref="C99:D99"/>
    <mergeCell ref="H99:I99"/>
    <mergeCell ref="J99:K99"/>
    <mergeCell ref="C100:D100"/>
    <mergeCell ref="H100:I100"/>
    <mergeCell ref="J100:K100"/>
    <mergeCell ref="C97:D97"/>
    <mergeCell ref="H97:I97"/>
    <mergeCell ref="J97:K97"/>
    <mergeCell ref="C98:D98"/>
    <mergeCell ref="H98:I98"/>
    <mergeCell ref="J98:K98"/>
    <mergeCell ref="C95:D95"/>
    <mergeCell ref="H95:I95"/>
    <mergeCell ref="J95:K95"/>
    <mergeCell ref="C96:D96"/>
    <mergeCell ref="H96:I96"/>
    <mergeCell ref="J96:K96"/>
    <mergeCell ref="C93:D93"/>
    <mergeCell ref="H93:I93"/>
    <mergeCell ref="J93:K93"/>
    <mergeCell ref="C94:D94"/>
    <mergeCell ref="H94:I94"/>
    <mergeCell ref="J94:K94"/>
    <mergeCell ref="C91:D91"/>
    <mergeCell ref="H91:I91"/>
    <mergeCell ref="J91:K91"/>
    <mergeCell ref="C92:D92"/>
    <mergeCell ref="H92:I92"/>
    <mergeCell ref="J92:K92"/>
    <mergeCell ref="C89:D89"/>
    <mergeCell ref="H89:I89"/>
    <mergeCell ref="J89:K89"/>
    <mergeCell ref="C90:D90"/>
    <mergeCell ref="H90:I90"/>
    <mergeCell ref="J90:K90"/>
    <mergeCell ref="C87:D87"/>
    <mergeCell ref="H87:I87"/>
    <mergeCell ref="J87:K87"/>
    <mergeCell ref="C88:D88"/>
    <mergeCell ref="H88:I88"/>
    <mergeCell ref="J88:K88"/>
    <mergeCell ref="C85:D85"/>
    <mergeCell ref="H85:I85"/>
    <mergeCell ref="J85:K85"/>
    <mergeCell ref="C86:D86"/>
    <mergeCell ref="H86:I86"/>
    <mergeCell ref="J86:K86"/>
    <mergeCell ref="C83:D83"/>
    <mergeCell ref="H83:I83"/>
    <mergeCell ref="J83:K83"/>
    <mergeCell ref="C84:D84"/>
    <mergeCell ref="H84:I84"/>
    <mergeCell ref="J84:K84"/>
    <mergeCell ref="C81:D81"/>
    <mergeCell ref="H81:I81"/>
    <mergeCell ref="J81:K81"/>
    <mergeCell ref="C82:D82"/>
    <mergeCell ref="H82:I82"/>
    <mergeCell ref="J82:K82"/>
    <mergeCell ref="C79:D79"/>
    <mergeCell ref="H79:I79"/>
    <mergeCell ref="J79:K79"/>
    <mergeCell ref="C80:D80"/>
    <mergeCell ref="H80:I80"/>
    <mergeCell ref="J80:K80"/>
    <mergeCell ref="C77:D77"/>
    <mergeCell ref="H77:I77"/>
    <mergeCell ref="J77:K77"/>
    <mergeCell ref="C78:D78"/>
    <mergeCell ref="H78:I78"/>
    <mergeCell ref="J78:K78"/>
    <mergeCell ref="C75:D75"/>
    <mergeCell ref="H75:I75"/>
    <mergeCell ref="J75:K75"/>
    <mergeCell ref="C76:D76"/>
    <mergeCell ref="H76:I76"/>
    <mergeCell ref="J76:K76"/>
    <mergeCell ref="C73:D73"/>
    <mergeCell ref="H73:I73"/>
    <mergeCell ref="J73:K73"/>
    <mergeCell ref="C74:D74"/>
    <mergeCell ref="H74:I74"/>
    <mergeCell ref="J74:K74"/>
    <mergeCell ref="C71:D71"/>
    <mergeCell ref="H71:I71"/>
    <mergeCell ref="J71:K71"/>
    <mergeCell ref="C72:D72"/>
    <mergeCell ref="H72:I72"/>
    <mergeCell ref="J72:K72"/>
    <mergeCell ref="C69:D69"/>
    <mergeCell ref="H69:I69"/>
    <mergeCell ref="J69:K69"/>
    <mergeCell ref="C70:D70"/>
    <mergeCell ref="H70:I70"/>
    <mergeCell ref="J70:K70"/>
    <mergeCell ref="C67:D67"/>
    <mergeCell ref="H67:I67"/>
    <mergeCell ref="J67:K67"/>
    <mergeCell ref="C68:D68"/>
    <mergeCell ref="H68:I68"/>
    <mergeCell ref="J68:K68"/>
    <mergeCell ref="C65:D65"/>
    <mergeCell ref="H65:I65"/>
    <mergeCell ref="J65:K65"/>
    <mergeCell ref="C66:D66"/>
    <mergeCell ref="H66:I66"/>
    <mergeCell ref="J66:K66"/>
    <mergeCell ref="C63:D63"/>
    <mergeCell ref="H63:I63"/>
    <mergeCell ref="J63:K63"/>
    <mergeCell ref="C64:D64"/>
    <mergeCell ref="H64:I64"/>
    <mergeCell ref="J64:K64"/>
    <mergeCell ref="C61:D61"/>
    <mergeCell ref="H61:I61"/>
    <mergeCell ref="J61:K61"/>
    <mergeCell ref="C62:D62"/>
    <mergeCell ref="H62:I62"/>
    <mergeCell ref="J62:K62"/>
    <mergeCell ref="C59:D59"/>
    <mergeCell ref="H59:I59"/>
    <mergeCell ref="J59:K59"/>
    <mergeCell ref="C60:D60"/>
    <mergeCell ref="H60:I60"/>
    <mergeCell ref="J60:K60"/>
    <mergeCell ref="C57:D57"/>
    <mergeCell ref="H57:I57"/>
    <mergeCell ref="J57:K57"/>
    <mergeCell ref="C58:D58"/>
    <mergeCell ref="H58:I58"/>
    <mergeCell ref="J58:K58"/>
    <mergeCell ref="C55:D55"/>
    <mergeCell ref="H55:I55"/>
    <mergeCell ref="J55:K55"/>
    <mergeCell ref="C56:D56"/>
    <mergeCell ref="H56:I56"/>
    <mergeCell ref="J56:K56"/>
    <mergeCell ref="C53:D53"/>
    <mergeCell ref="H53:I53"/>
    <mergeCell ref="J53:K53"/>
    <mergeCell ref="C54:D54"/>
    <mergeCell ref="H54:I54"/>
    <mergeCell ref="J54:K54"/>
    <mergeCell ref="C51:D51"/>
    <mergeCell ref="H51:I51"/>
    <mergeCell ref="J51:K51"/>
    <mergeCell ref="C52:D52"/>
    <mergeCell ref="H52:I52"/>
    <mergeCell ref="J52:K52"/>
    <mergeCell ref="C49:D49"/>
    <mergeCell ref="H49:I49"/>
    <mergeCell ref="J49:K49"/>
    <mergeCell ref="C50:D50"/>
    <mergeCell ref="H50:I50"/>
    <mergeCell ref="J50:K50"/>
    <mergeCell ref="C47:D47"/>
    <mergeCell ref="H47:I47"/>
    <mergeCell ref="J47:K47"/>
    <mergeCell ref="C48:D48"/>
    <mergeCell ref="H48:I48"/>
    <mergeCell ref="J48:K48"/>
    <mergeCell ref="C45:D45"/>
    <mergeCell ref="H45:I45"/>
    <mergeCell ref="J45:K45"/>
    <mergeCell ref="C46:D46"/>
    <mergeCell ref="H46:I46"/>
    <mergeCell ref="J46:K46"/>
    <mergeCell ref="C43:D43"/>
    <mergeCell ref="H43:I43"/>
    <mergeCell ref="J43:K43"/>
    <mergeCell ref="C44:D44"/>
    <mergeCell ref="H44:I44"/>
    <mergeCell ref="J44:K44"/>
    <mergeCell ref="B39:L39"/>
    <mergeCell ref="B40:L40"/>
    <mergeCell ref="B41:L41"/>
    <mergeCell ref="C42:D42"/>
    <mergeCell ref="H42:I42"/>
    <mergeCell ref="J42:K42"/>
    <mergeCell ref="C33:H33"/>
    <mergeCell ref="C34:H34"/>
    <mergeCell ref="B35:L35"/>
    <mergeCell ref="A36:L36"/>
    <mergeCell ref="B37:L37"/>
    <mergeCell ref="B38:L38"/>
    <mergeCell ref="I27:J27"/>
    <mergeCell ref="K27:L27"/>
    <mergeCell ref="A29:A34"/>
    <mergeCell ref="B29:H29"/>
    <mergeCell ref="I29:L29"/>
    <mergeCell ref="B30:B34"/>
    <mergeCell ref="C30:H30"/>
    <mergeCell ref="I30:L34"/>
    <mergeCell ref="C31:H31"/>
    <mergeCell ref="C32:H32"/>
    <mergeCell ref="E24:F24"/>
    <mergeCell ref="G24:I24"/>
    <mergeCell ref="J24:L24"/>
    <mergeCell ref="A26:A27"/>
    <mergeCell ref="C26:D26"/>
    <mergeCell ref="E26:H26"/>
    <mergeCell ref="I26:J26"/>
    <mergeCell ref="K26:L26"/>
    <mergeCell ref="C27:D27"/>
    <mergeCell ref="E27:H27"/>
    <mergeCell ref="A22:A24"/>
    <mergeCell ref="B22:D22"/>
    <mergeCell ref="E22:F22"/>
    <mergeCell ref="G22:I22"/>
    <mergeCell ref="J22:L22"/>
    <mergeCell ref="B23:D23"/>
    <mergeCell ref="E23:F23"/>
    <mergeCell ref="G23:I23"/>
    <mergeCell ref="J23:L23"/>
    <mergeCell ref="B24:D24"/>
    <mergeCell ref="E15:E16"/>
    <mergeCell ref="F15:H17"/>
    <mergeCell ref="I15:L17"/>
    <mergeCell ref="B16:D16"/>
    <mergeCell ref="B17:D17"/>
    <mergeCell ref="B18:D18"/>
    <mergeCell ref="F18:L20"/>
    <mergeCell ref="B19:D19"/>
    <mergeCell ref="B20:D20"/>
    <mergeCell ref="A11:A12"/>
    <mergeCell ref="C11:E11"/>
    <mergeCell ref="G11:L11"/>
    <mergeCell ref="C12:E12"/>
    <mergeCell ref="G12:L12"/>
    <mergeCell ref="A14:A20"/>
    <mergeCell ref="B14:D14"/>
    <mergeCell ref="F14:H14"/>
    <mergeCell ref="I14:L14"/>
    <mergeCell ref="B15:D15"/>
    <mergeCell ref="A6:L6"/>
    <mergeCell ref="A7:L7"/>
    <mergeCell ref="C8:E8"/>
    <mergeCell ref="H8:I8"/>
    <mergeCell ref="A9:A10"/>
    <mergeCell ref="C9:E9"/>
    <mergeCell ref="F9:F10"/>
    <mergeCell ref="H9:J9"/>
    <mergeCell ref="C10:E10"/>
    <mergeCell ref="H10:L10"/>
    <mergeCell ref="A1:L1"/>
    <mergeCell ref="A2:E2"/>
    <mergeCell ref="F2:L2"/>
    <mergeCell ref="A3:L3"/>
    <mergeCell ref="A4:L4"/>
    <mergeCell ref="A5:L5"/>
  </mergeCells>
  <conditionalFormatting sqref="C43:D192">
    <cfRule type="expression" dxfId="1" priority="2">
      <formula>M43&gt;0</formula>
    </cfRule>
  </conditionalFormatting>
  <conditionalFormatting sqref="M43:M192">
    <cfRule type="cellIs" dxfId="0" priority="1" operator="greaterThan">
      <formula>0</formula>
    </cfRule>
  </conditionalFormatting>
  <pageMargins left="0.25" right="0.25" top="0.5" bottom="0.5" header="0.3" footer="0.3"/>
  <pageSetup scale="82" orientation="landscape" r:id="rId1"/>
  <legacyDrawing r:id="rId2"/>
  <extLst>
    <ext xmlns:x14="http://schemas.microsoft.com/office/spreadsheetml/2009/9/main" uri="{CCE6A557-97BC-4b89-ADB6-D9C93CAAB3DF}">
      <x14:dataValidations xmlns:xm="http://schemas.microsoft.com/office/excel/2006/main" count="11">
        <x14:dataValidation type="list" allowBlank="1" showInputMessage="1" showErrorMessage="1">
          <x14:formula1>
            <xm:f>'Source code'!$B$23:$B$25</xm:f>
          </x14:formula1>
          <xm:sqref>E19</xm:sqref>
        </x14:dataValidation>
        <x14:dataValidation type="list" allowBlank="1" showInputMessage="1" showErrorMessage="1" promptTitle="Yes/No/NA">
          <x14:formula1>
            <xm:f>'Source code'!$B$23:$B$25</xm:f>
          </x14:formula1>
          <xm:sqref>E17</xm:sqref>
        </x14:dataValidation>
        <x14:dataValidation type="list" allowBlank="1" showInputMessage="1" showErrorMessage="1">
          <x14:formula1>
            <xm:f>'Source code'!$B$19:$B$21</xm:f>
          </x14:formula1>
          <xm:sqref>G12:L12</xm:sqref>
        </x14:dataValidation>
        <x14:dataValidation type="list" allowBlank="1" showInputMessage="1" showErrorMessage="1">
          <x14:formula1>
            <xm:f>'Source code'!$A$29:$A$33</xm:f>
          </x14:formula1>
          <xm:sqref>K27:K28</xm:sqref>
        </x14:dataValidation>
        <x14:dataValidation type="list" allowBlank="1" showInputMessage="1" showErrorMessage="1">
          <x14:formula1>
            <xm:f>'Source code'!$B$11:$B$16</xm:f>
          </x14:formula1>
          <xm:sqref>I30:L34</xm:sqref>
        </x14:dataValidation>
        <x14:dataValidation type="list" allowBlank="1" showInputMessage="1" showErrorMessage="1">
          <x14:formula1>
            <xm:f>'Source code'!$A$21:$A$24</xm:f>
          </x14:formula1>
          <xm:sqref>K26</xm:sqref>
        </x14:dataValidation>
        <x14:dataValidation type="list" allowBlank="1" showInputMessage="1" showErrorMessage="1">
          <x14:formula1>
            <xm:f>'Source code'!$B$3:$B$9</xm:f>
          </x14:formula1>
          <xm:sqref>I15:L17</xm:sqref>
        </x14:dataValidation>
        <x14:dataValidation type="list" allowBlank="1" showInputMessage="1" showErrorMessage="1">
          <x14:formula1>
            <xm:f>'Source code'!$A$11:$A$16</xm:f>
          </x14:formula1>
          <xm:sqref>E20:E21</xm:sqref>
        </x14:dataValidation>
        <x14:dataValidation type="list" allowBlank="1" showInputMessage="1" showErrorMessage="1">
          <x14:formula1>
            <xm:f>'Source code'!$A$3:$A$7</xm:f>
          </x14:formula1>
          <xm:sqref>E18</xm:sqref>
        </x14:dataValidation>
        <x14:dataValidation type="list" allowBlank="1" showInputMessage="1" showErrorMessage="1" prompt="Some methods/kits omit any PCR during library preparation - we need to know whether this applies to any of your samples.">
          <x14:formula1>
            <xm:f>'Source code'!$D$13:$D$17</xm:f>
          </x14:formula1>
          <xm:sqref>F22:F25</xm:sqref>
        </x14:dataValidation>
        <x14:dataValidation type="list" errorStyle="warning" allowBlank="1" showInputMessage="1" errorTitle="Problem detected" error="This is not a valid sample status option. Please contact your technical support representative for assistance." promptTitle="Select sample status:" prompt="we need to know the buffers/solutions you used">
          <x14:formula1>
            <xm:f>'Source code'!$D$3:$D$6</xm:f>
          </x14:formula1>
          <xm:sqref>F15:H17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F32"/>
  <sheetViews>
    <sheetView workbookViewId="0">
      <selection activeCell="C9" sqref="C9:E9"/>
    </sheetView>
  </sheetViews>
  <sheetFormatPr defaultColWidth="9.33203125" defaultRowHeight="12.75" x14ac:dyDescent="0.2"/>
  <cols>
    <col min="1" max="1" width="57.33203125" style="3" customWidth="1"/>
    <col min="2" max="2" width="67" style="3" customWidth="1"/>
    <col min="3" max="3" width="9.33203125" style="3" customWidth="1"/>
    <col min="4" max="4" width="54.1640625" style="3" customWidth="1"/>
    <col min="5" max="5" width="9.33203125" style="3" customWidth="1"/>
    <col min="6" max="6" width="70.33203125" style="3" customWidth="1"/>
    <col min="7" max="16384" width="9.33203125" style="3"/>
  </cols>
  <sheetData>
    <row r="3" spans="1:6" ht="14.25" customHeight="1" x14ac:dyDescent="0.2">
      <c r="A3" s="8" t="s">
        <v>51</v>
      </c>
      <c r="B3" s="3" t="s">
        <v>114</v>
      </c>
      <c r="C3" s="5"/>
      <c r="D3" s="9" t="s">
        <v>75</v>
      </c>
      <c r="E3" s="5"/>
      <c r="F3" s="3" t="s">
        <v>17</v>
      </c>
    </row>
    <row r="4" spans="1:6" x14ac:dyDescent="0.2">
      <c r="A4" s="34" t="s">
        <v>96</v>
      </c>
      <c r="B4" s="3" t="s">
        <v>48</v>
      </c>
      <c r="D4" s="36" t="s">
        <v>99</v>
      </c>
      <c r="F4" s="3" t="s">
        <v>3</v>
      </c>
    </row>
    <row r="5" spans="1:6" x14ac:dyDescent="0.2">
      <c r="A5" s="3" t="s">
        <v>41</v>
      </c>
      <c r="B5" s="34" t="s">
        <v>100</v>
      </c>
      <c r="D5" s="36" t="s">
        <v>98</v>
      </c>
      <c r="F5" s="3" t="s">
        <v>4</v>
      </c>
    </row>
    <row r="6" spans="1:6" x14ac:dyDescent="0.2">
      <c r="A6" s="3" t="s">
        <v>47</v>
      </c>
      <c r="B6" s="34" t="s">
        <v>166</v>
      </c>
      <c r="D6" s="37" t="s">
        <v>97</v>
      </c>
      <c r="F6" s="3" t="s">
        <v>13</v>
      </c>
    </row>
    <row r="7" spans="1:6" x14ac:dyDescent="0.2">
      <c r="A7" s="34" t="s">
        <v>102</v>
      </c>
      <c r="B7" s="34" t="s">
        <v>101</v>
      </c>
      <c r="D7" s="35"/>
      <c r="F7" s="3" t="s">
        <v>6</v>
      </c>
    </row>
    <row r="8" spans="1:6" x14ac:dyDescent="0.2">
      <c r="B8" s="3" t="s">
        <v>53</v>
      </c>
      <c r="F8" s="3" t="s">
        <v>7</v>
      </c>
    </row>
    <row r="9" spans="1:6" x14ac:dyDescent="0.2">
      <c r="B9" s="3" t="s">
        <v>112</v>
      </c>
      <c r="F9" s="3" t="s">
        <v>8</v>
      </c>
    </row>
    <row r="10" spans="1:6" x14ac:dyDescent="0.2">
      <c r="B10" s="3" t="s">
        <v>49</v>
      </c>
      <c r="F10" s="3" t="s">
        <v>5</v>
      </c>
    </row>
    <row r="11" spans="1:6" x14ac:dyDescent="0.2">
      <c r="A11" s="3" t="s">
        <v>42</v>
      </c>
      <c r="B11" s="3" t="s">
        <v>83</v>
      </c>
      <c r="F11" s="3" t="s">
        <v>9</v>
      </c>
    </row>
    <row r="12" spans="1:6" x14ac:dyDescent="0.2">
      <c r="A12" s="3" t="s">
        <v>43</v>
      </c>
      <c r="B12" s="3" t="s">
        <v>84</v>
      </c>
      <c r="F12" s="3" t="s">
        <v>10</v>
      </c>
    </row>
    <row r="13" spans="1:6" x14ac:dyDescent="0.2">
      <c r="A13" s="3" t="s">
        <v>44</v>
      </c>
      <c r="B13" s="3" t="s">
        <v>85</v>
      </c>
      <c r="D13" s="3" t="s">
        <v>18</v>
      </c>
      <c r="F13" s="3" t="s">
        <v>11</v>
      </c>
    </row>
    <row r="14" spans="1:6" x14ac:dyDescent="0.2">
      <c r="A14" s="3" t="s">
        <v>45</v>
      </c>
      <c r="B14" s="3" t="s">
        <v>86</v>
      </c>
      <c r="D14" s="3" t="s">
        <v>15</v>
      </c>
      <c r="F14" s="3" t="s">
        <v>12</v>
      </c>
    </row>
    <row r="15" spans="1:6" x14ac:dyDescent="0.2">
      <c r="A15" s="3" t="s">
        <v>46</v>
      </c>
      <c r="B15" s="3" t="s">
        <v>87</v>
      </c>
      <c r="D15" s="3" t="s">
        <v>24</v>
      </c>
    </row>
    <row r="16" spans="1:6" x14ac:dyDescent="0.2">
      <c r="A16" s="3" t="s">
        <v>47</v>
      </c>
      <c r="D16" s="3" t="s">
        <v>25</v>
      </c>
    </row>
    <row r="17" spans="1:4" x14ac:dyDescent="0.2">
      <c r="A17" s="34" t="s">
        <v>102</v>
      </c>
      <c r="D17" s="3" t="s">
        <v>19</v>
      </c>
    </row>
    <row r="18" spans="1:4" x14ac:dyDescent="0.2">
      <c r="D18" s="3" t="s">
        <v>20</v>
      </c>
    </row>
    <row r="19" spans="1:4" x14ac:dyDescent="0.2">
      <c r="B19" s="3" t="s">
        <v>163</v>
      </c>
      <c r="D19" s="3" t="s">
        <v>21</v>
      </c>
    </row>
    <row r="20" spans="1:4" x14ac:dyDescent="0.2">
      <c r="B20" s="3" t="s">
        <v>121</v>
      </c>
      <c r="D20" s="3" t="s">
        <v>22</v>
      </c>
    </row>
    <row r="21" spans="1:4" x14ac:dyDescent="0.2">
      <c r="A21" s="3" t="s">
        <v>68</v>
      </c>
      <c r="D21" s="3" t="s">
        <v>23</v>
      </c>
    </row>
    <row r="22" spans="1:4" x14ac:dyDescent="0.2">
      <c r="A22" s="3" t="s">
        <v>170</v>
      </c>
      <c r="D22" s="3" t="s">
        <v>26</v>
      </c>
    </row>
    <row r="23" spans="1:4" x14ac:dyDescent="0.2">
      <c r="A23" s="3" t="s">
        <v>169</v>
      </c>
      <c r="B23" s="3" t="s">
        <v>120</v>
      </c>
      <c r="D23" s="3" t="s">
        <v>27</v>
      </c>
    </row>
    <row r="24" spans="1:4" x14ac:dyDescent="0.2">
      <c r="B24" s="3" t="s">
        <v>125</v>
      </c>
      <c r="D24" s="3" t="s">
        <v>28</v>
      </c>
    </row>
    <row r="25" spans="1:4" x14ac:dyDescent="0.2">
      <c r="B25" s="3" t="s">
        <v>124</v>
      </c>
      <c r="D25" s="3" t="s">
        <v>29</v>
      </c>
    </row>
    <row r="26" spans="1:4" x14ac:dyDescent="0.2">
      <c r="D26" s="3" t="s">
        <v>30</v>
      </c>
    </row>
    <row r="27" spans="1:4" x14ac:dyDescent="0.2">
      <c r="D27" s="3" t="s">
        <v>31</v>
      </c>
    </row>
    <row r="29" spans="1:4" x14ac:dyDescent="0.2">
      <c r="A29" s="3" t="s">
        <v>72</v>
      </c>
    </row>
    <row r="30" spans="1:4" x14ac:dyDescent="0.2">
      <c r="A30" s="3" t="s">
        <v>171</v>
      </c>
    </row>
    <row r="31" spans="1:4" x14ac:dyDescent="0.2">
      <c r="A31" s="3" t="s">
        <v>172</v>
      </c>
    </row>
    <row r="32" spans="1:4" x14ac:dyDescent="0.2">
      <c r="A32" s="3" t="s">
        <v>116</v>
      </c>
    </row>
  </sheetData>
  <pageMargins left="0.7" right="0.7" top="0.75" bottom="0.75" header="0.3" footer="0.3"/>
  <pageSetup orientation="portrait" horizontalDpi="1200" verticalDpi="1200" r:id="rId1"/>
  <tableParts count="8">
    <tablePart r:id="rId2"/>
    <tablePart r:id="rId3"/>
    <tablePart r:id="rId4"/>
    <tablePart r:id="rId5"/>
    <tablePart r:id="rId6"/>
    <tablePart r:id="rId7"/>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153"/>
  <sheetViews>
    <sheetView workbookViewId="0">
      <pane ySplit="2" topLeftCell="A104" activePane="bottomLeft" state="frozen"/>
      <selection activeCell="C9" sqref="C9:E9"/>
      <selection pane="bottomLeft" activeCell="C9" sqref="C9:E9"/>
    </sheetView>
  </sheetViews>
  <sheetFormatPr defaultRowHeight="12.75" x14ac:dyDescent="0.2"/>
  <cols>
    <col min="2" max="2" width="13" bestFit="1" customWidth="1"/>
    <col min="14" max="14" width="5.6640625" customWidth="1"/>
  </cols>
  <sheetData>
    <row r="1" spans="1:18" x14ac:dyDescent="0.2">
      <c r="A1" s="161" t="s">
        <v>154</v>
      </c>
      <c r="L1" s="161" t="s">
        <v>157</v>
      </c>
      <c r="M1" s="161"/>
    </row>
    <row r="2" spans="1:18" x14ac:dyDescent="0.2">
      <c r="A2" t="s">
        <v>144</v>
      </c>
      <c r="B2" t="s">
        <v>143</v>
      </c>
      <c r="D2" t="s">
        <v>145</v>
      </c>
      <c r="E2" t="s">
        <v>146</v>
      </c>
      <c r="F2" t="s">
        <v>147</v>
      </c>
      <c r="G2" t="s">
        <v>148</v>
      </c>
      <c r="I2" t="s">
        <v>149</v>
      </c>
      <c r="K2" t="s">
        <v>150</v>
      </c>
      <c r="L2" s="3" t="s">
        <v>158</v>
      </c>
      <c r="M2" s="3" t="s">
        <v>155</v>
      </c>
      <c r="N2" s="3" t="s">
        <v>156</v>
      </c>
      <c r="O2" s="3" t="s">
        <v>160</v>
      </c>
      <c r="P2" s="3" t="s">
        <v>159</v>
      </c>
      <c r="Q2" s="3" t="s">
        <v>164</v>
      </c>
      <c r="R2" s="3" t="s">
        <v>165</v>
      </c>
    </row>
    <row r="3" spans="1:18" x14ac:dyDescent="0.2">
      <c r="A3" t="str">
        <f>IF('Sample Information'!$A43="","",IF('Sample Information'!$L$9="","INIT",'Sample Information'!$L$9)&amp;ROW(A3)-2)</f>
        <v/>
      </c>
      <c r="B3" t="str">
        <f>IF('Sample Information'!C43="","",'Sample Information'!C43)</f>
        <v/>
      </c>
      <c r="D3" t="str">
        <f>IF('Sample Information'!E43="","",'Sample Information'!E43)</f>
        <v/>
      </c>
      <c r="E3" t="str">
        <f>IF('Sample Information'!F43="","",'Sample Information'!F43)</f>
        <v/>
      </c>
      <c r="F3" t="str">
        <f>IF('Sample Information'!G43="","",'Sample Information'!G43)</f>
        <v/>
      </c>
      <c r="G3" t="str">
        <f>IF('Sample Information'!H43="","",'Sample Information'!H43)</f>
        <v/>
      </c>
      <c r="I3" t="str">
        <f>IF('Sample Information'!J43="","",'Sample Information'!J43)</f>
        <v/>
      </c>
      <c r="K3" t="str">
        <f>IF('Sample Information'!L43="","",'Sample Information'!L43)</f>
        <v/>
      </c>
      <c r="L3" s="163">
        <f>SUM(M3:N3)+IF(P3&gt;1,10,0)+IF(AND(A3&lt;&gt;"",B3=""),100,0)</f>
        <v>0</v>
      </c>
      <c r="M3" s="163">
        <f>IF(ISERROR(FIND("_",B3)),0,1)</f>
        <v>0</v>
      </c>
      <c r="N3" s="163">
        <f>IF(LEN(O3)&gt;0,1,0)</f>
        <v>0</v>
      </c>
      <c r="O3" t="str">
        <f>SUBSTITUTE(StripChar(B3),"-","")</f>
        <v/>
      </c>
      <c r="P3" s="163">
        <f>IF(B3="",0,COUNTIF($B$3:$B$152,B3))</f>
        <v>0</v>
      </c>
      <c r="Q3" s="163">
        <f>IF(R3="",0,COUNTIF($R$3:$R$152,R3))</f>
        <v>0</v>
      </c>
      <c r="R3" t="str">
        <f>G3&amp;I3</f>
        <v/>
      </c>
    </row>
    <row r="4" spans="1:18" x14ac:dyDescent="0.2">
      <c r="A4" t="str">
        <f>IF('Sample Information'!$A44="","",IF('Sample Information'!$L$9="","INIT",'Sample Information'!$L$9)&amp;ROW(A4)-2)</f>
        <v/>
      </c>
      <c r="B4" t="str">
        <f>IF('Sample Information'!C44="","",'Sample Information'!C44)</f>
        <v/>
      </c>
      <c r="D4" t="str">
        <f>IF('Sample Information'!E44="","",'Sample Information'!E44)</f>
        <v/>
      </c>
      <c r="E4" t="str">
        <f>IF('Sample Information'!F44="","",'Sample Information'!F44)</f>
        <v/>
      </c>
      <c r="F4" t="str">
        <f>IF('Sample Information'!G44="","",'Sample Information'!G44)</f>
        <v/>
      </c>
      <c r="G4" t="str">
        <f>IF('Sample Information'!H44="","",'Sample Information'!H44)</f>
        <v/>
      </c>
      <c r="I4" t="str">
        <f>IF('Sample Information'!J44="","",'Sample Information'!J44)</f>
        <v/>
      </c>
      <c r="K4" t="str">
        <f>IF('Sample Information'!L44="","",'Sample Information'!L44)</f>
        <v/>
      </c>
      <c r="L4" s="163">
        <f t="shared" ref="L4:L67" si="0">SUM(M4:N4)+IF(P4&gt;1,10,0)+IF(AND(A4&lt;&gt;"",B4=""),100,0)</f>
        <v>0</v>
      </c>
      <c r="M4" s="163">
        <f t="shared" ref="M4:M67" si="1">IF(ISERROR(FIND("_",B4)),0,1)</f>
        <v>0</v>
      </c>
      <c r="N4" s="163">
        <f t="shared" ref="N4:N67" si="2">IF(LEN(O4)&gt;0,1,0)</f>
        <v>0</v>
      </c>
      <c r="O4" t="str">
        <f>SUBSTITUTE(StripChar(B4),"-","")</f>
        <v/>
      </c>
      <c r="P4" s="163">
        <f t="shared" ref="P4:P67" si="3">IF(B4="",0,COUNTIF($B$3:$B$152,B4))</f>
        <v>0</v>
      </c>
      <c r="Q4" s="163">
        <f t="shared" ref="Q4:Q67" si="4">IF(R4="",0,COUNTIF($R$3:$R$152,R4))</f>
        <v>0</v>
      </c>
      <c r="R4" t="str">
        <f t="shared" ref="R4:R67" si="5">G4&amp;I4</f>
        <v/>
      </c>
    </row>
    <row r="5" spans="1:18" x14ac:dyDescent="0.2">
      <c r="A5" t="str">
        <f>IF('Sample Information'!$A45="","",IF('Sample Information'!$L$9="","INIT",'Sample Information'!$L$9)&amp;ROW(A5)-2)</f>
        <v/>
      </c>
      <c r="B5" t="str">
        <f>IF('Sample Information'!C45="","",'Sample Information'!C45)</f>
        <v/>
      </c>
      <c r="D5" t="str">
        <f>IF('Sample Information'!E45="","",'Sample Information'!E45)</f>
        <v/>
      </c>
      <c r="E5" t="str">
        <f>IF('Sample Information'!F45="","",'Sample Information'!F45)</f>
        <v/>
      </c>
      <c r="F5" t="str">
        <f>IF('Sample Information'!G45="","",'Sample Information'!G45)</f>
        <v/>
      </c>
      <c r="G5" t="str">
        <f>IF('Sample Information'!H45="","",'Sample Information'!H45)</f>
        <v/>
      </c>
      <c r="I5" t="str">
        <f>IF('Sample Information'!J45="","",'Sample Information'!J45)</f>
        <v/>
      </c>
      <c r="K5" t="str">
        <f>IF('Sample Information'!L45="","",'Sample Information'!L45)</f>
        <v/>
      </c>
      <c r="L5" s="163">
        <f t="shared" si="0"/>
        <v>0</v>
      </c>
      <c r="M5" s="163">
        <f t="shared" si="1"/>
        <v>0</v>
      </c>
      <c r="N5" s="163">
        <f t="shared" si="2"/>
        <v>0</v>
      </c>
      <c r="O5" t="str">
        <f>SUBSTITUTE(StripChar(B5),"-","")</f>
        <v/>
      </c>
      <c r="P5" s="163">
        <f t="shared" si="3"/>
        <v>0</v>
      </c>
      <c r="Q5" s="163">
        <f t="shared" si="4"/>
        <v>0</v>
      </c>
      <c r="R5" t="str">
        <f t="shared" si="5"/>
        <v/>
      </c>
    </row>
    <row r="6" spans="1:18" x14ac:dyDescent="0.2">
      <c r="A6" t="str">
        <f>IF('Sample Information'!$A46="","",IF('Sample Information'!$L$9="","INIT",'Sample Information'!$L$9)&amp;ROW(A6)-2)</f>
        <v/>
      </c>
      <c r="B6" t="str">
        <f>IF('Sample Information'!C46="","",'Sample Information'!C46)</f>
        <v/>
      </c>
      <c r="D6" t="str">
        <f>IF('Sample Information'!E46="","",'Sample Information'!E46)</f>
        <v/>
      </c>
      <c r="E6" t="str">
        <f>IF('Sample Information'!F46="","",'Sample Information'!F46)</f>
        <v/>
      </c>
      <c r="F6" t="str">
        <f>IF('Sample Information'!G46="","",'Sample Information'!G46)</f>
        <v/>
      </c>
      <c r="G6" t="str">
        <f>IF('Sample Information'!H46="","",'Sample Information'!H46)</f>
        <v/>
      </c>
      <c r="I6" t="str">
        <f>IF('Sample Information'!J46="","",'Sample Information'!J46)</f>
        <v/>
      </c>
      <c r="K6" t="str">
        <f>IF('Sample Information'!L46="","",'Sample Information'!L46)</f>
        <v/>
      </c>
      <c r="L6" s="163">
        <f t="shared" si="0"/>
        <v>0</v>
      </c>
      <c r="M6" s="163">
        <f t="shared" si="1"/>
        <v>0</v>
      </c>
      <c r="N6" s="163">
        <f t="shared" si="2"/>
        <v>0</v>
      </c>
      <c r="O6" t="str">
        <f>SUBSTITUTE(StripChar(B6),"-","")</f>
        <v/>
      </c>
      <c r="P6" s="163">
        <f t="shared" si="3"/>
        <v>0</v>
      </c>
      <c r="Q6" s="163">
        <f t="shared" si="4"/>
        <v>0</v>
      </c>
      <c r="R6" t="str">
        <f t="shared" si="5"/>
        <v/>
      </c>
    </row>
    <row r="7" spans="1:18" x14ac:dyDescent="0.2">
      <c r="A7" t="str">
        <f>IF('Sample Information'!$A47="","",IF('Sample Information'!$L$9="","INIT",'Sample Information'!$L$9)&amp;ROW(A7)-2)</f>
        <v/>
      </c>
      <c r="B7" t="str">
        <f>IF('Sample Information'!C47="","",'Sample Information'!C47)</f>
        <v/>
      </c>
      <c r="D7" t="str">
        <f>IF('Sample Information'!E47="","",'Sample Information'!E47)</f>
        <v/>
      </c>
      <c r="E7" t="str">
        <f>IF('Sample Information'!F47="","",'Sample Information'!F47)</f>
        <v/>
      </c>
      <c r="F7" t="str">
        <f>IF('Sample Information'!G47="","",'Sample Information'!G47)</f>
        <v/>
      </c>
      <c r="G7" t="str">
        <f>IF('Sample Information'!H47="","",'Sample Information'!H47)</f>
        <v/>
      </c>
      <c r="I7" t="str">
        <f>IF('Sample Information'!J47="","",'Sample Information'!J47)</f>
        <v/>
      </c>
      <c r="K7" t="str">
        <f>IF('Sample Information'!L47="","",'Sample Information'!L47)</f>
        <v/>
      </c>
      <c r="L7" s="163">
        <f t="shared" si="0"/>
        <v>0</v>
      </c>
      <c r="M7" s="163">
        <f t="shared" si="1"/>
        <v>0</v>
      </c>
      <c r="N7" s="163">
        <f t="shared" si="2"/>
        <v>0</v>
      </c>
      <c r="O7" t="str">
        <f>SUBSTITUTE(StripChar(B7),"-","")</f>
        <v/>
      </c>
      <c r="P7" s="163">
        <f t="shared" si="3"/>
        <v>0</v>
      </c>
      <c r="Q7" s="163">
        <f t="shared" si="4"/>
        <v>0</v>
      </c>
      <c r="R7" t="str">
        <f t="shared" si="5"/>
        <v/>
      </c>
    </row>
    <row r="8" spans="1:18" x14ac:dyDescent="0.2">
      <c r="A8" t="str">
        <f>IF('Sample Information'!$A48="","",IF('Sample Information'!$L$9="","INIT",'Sample Information'!$L$9)&amp;ROW(A8)-2)</f>
        <v/>
      </c>
      <c r="B8" t="str">
        <f>IF('Sample Information'!C48="","",'Sample Information'!C48)</f>
        <v/>
      </c>
      <c r="D8" t="str">
        <f>IF('Sample Information'!E48="","",'Sample Information'!E48)</f>
        <v/>
      </c>
      <c r="E8" t="str">
        <f>IF('Sample Information'!F48="","",'Sample Information'!F48)</f>
        <v/>
      </c>
      <c r="F8" t="str">
        <f>IF('Sample Information'!G48="","",'Sample Information'!G48)</f>
        <v/>
      </c>
      <c r="G8" t="str">
        <f>IF('Sample Information'!H48="","",'Sample Information'!H48)</f>
        <v/>
      </c>
      <c r="I8" t="str">
        <f>IF('Sample Information'!J48="","",'Sample Information'!J48)</f>
        <v/>
      </c>
      <c r="K8" t="str">
        <f>IF('Sample Information'!L48="","",'Sample Information'!L48)</f>
        <v/>
      </c>
      <c r="L8" s="163">
        <f t="shared" si="0"/>
        <v>0</v>
      </c>
      <c r="M8" s="163">
        <f t="shared" si="1"/>
        <v>0</v>
      </c>
      <c r="N8" s="163">
        <f t="shared" si="2"/>
        <v>0</v>
      </c>
      <c r="O8" t="str">
        <f>SUBSTITUTE(StripChar(B8),"-","")</f>
        <v/>
      </c>
      <c r="P8" s="163">
        <f t="shared" si="3"/>
        <v>0</v>
      </c>
      <c r="Q8" s="163">
        <f t="shared" si="4"/>
        <v>0</v>
      </c>
      <c r="R8" t="str">
        <f t="shared" si="5"/>
        <v/>
      </c>
    </row>
    <row r="9" spans="1:18" x14ac:dyDescent="0.2">
      <c r="A9" t="str">
        <f>IF('Sample Information'!$A49="","",IF('Sample Information'!$L$9="","INIT",'Sample Information'!$L$9)&amp;ROW(A9)-2)</f>
        <v/>
      </c>
      <c r="B9" t="str">
        <f>IF('Sample Information'!C49="","",'Sample Information'!C49)</f>
        <v/>
      </c>
      <c r="D9" t="str">
        <f>IF('Sample Information'!E49="","",'Sample Information'!E49)</f>
        <v/>
      </c>
      <c r="E9" t="str">
        <f>IF('Sample Information'!F49="","",'Sample Information'!F49)</f>
        <v/>
      </c>
      <c r="F9" t="str">
        <f>IF('Sample Information'!G49="","",'Sample Information'!G49)</f>
        <v/>
      </c>
      <c r="G9" t="str">
        <f>IF('Sample Information'!H49="","",'Sample Information'!H49)</f>
        <v/>
      </c>
      <c r="I9" t="str">
        <f>IF('Sample Information'!J49="","",'Sample Information'!J49)</f>
        <v/>
      </c>
      <c r="K9" t="str">
        <f>IF('Sample Information'!L49="","",'Sample Information'!L49)</f>
        <v/>
      </c>
      <c r="L9" s="163">
        <f t="shared" si="0"/>
        <v>0</v>
      </c>
      <c r="M9" s="163">
        <f t="shared" si="1"/>
        <v>0</v>
      </c>
      <c r="N9" s="163">
        <f t="shared" si="2"/>
        <v>0</v>
      </c>
      <c r="O9" t="str">
        <f>SUBSTITUTE(StripChar(B9),"-","")</f>
        <v/>
      </c>
      <c r="P9" s="163">
        <f t="shared" si="3"/>
        <v>0</v>
      </c>
      <c r="Q9" s="163">
        <f t="shared" si="4"/>
        <v>0</v>
      </c>
      <c r="R9" t="str">
        <f t="shared" si="5"/>
        <v/>
      </c>
    </row>
    <row r="10" spans="1:18" x14ac:dyDescent="0.2">
      <c r="A10" t="str">
        <f>IF('Sample Information'!$A50="","",IF('Sample Information'!$L$9="","INIT",'Sample Information'!$L$9)&amp;ROW(A10)-2)</f>
        <v/>
      </c>
      <c r="B10" t="str">
        <f>IF('Sample Information'!C50="","",'Sample Information'!C50)</f>
        <v/>
      </c>
      <c r="D10" t="str">
        <f>IF('Sample Information'!E50="","",'Sample Information'!E50)</f>
        <v/>
      </c>
      <c r="E10" t="str">
        <f>IF('Sample Information'!F50="","",'Sample Information'!F50)</f>
        <v/>
      </c>
      <c r="F10" t="str">
        <f>IF('Sample Information'!G50="","",'Sample Information'!G50)</f>
        <v/>
      </c>
      <c r="G10" t="str">
        <f>IF('Sample Information'!H50="","",'Sample Information'!H50)</f>
        <v/>
      </c>
      <c r="I10" t="str">
        <f>IF('Sample Information'!J50="","",'Sample Information'!J50)</f>
        <v/>
      </c>
      <c r="K10" t="str">
        <f>IF('Sample Information'!L50="","",'Sample Information'!L50)</f>
        <v/>
      </c>
      <c r="L10" s="163">
        <f t="shared" si="0"/>
        <v>0</v>
      </c>
      <c r="M10" s="163">
        <f t="shared" si="1"/>
        <v>0</v>
      </c>
      <c r="N10" s="163">
        <f t="shared" si="2"/>
        <v>0</v>
      </c>
      <c r="O10" t="str">
        <f>SUBSTITUTE(StripChar(B10),"-","")</f>
        <v/>
      </c>
      <c r="P10" s="163">
        <f t="shared" si="3"/>
        <v>0</v>
      </c>
      <c r="Q10" s="163">
        <f t="shared" si="4"/>
        <v>0</v>
      </c>
      <c r="R10" t="str">
        <f t="shared" si="5"/>
        <v/>
      </c>
    </row>
    <row r="11" spans="1:18" x14ac:dyDescent="0.2">
      <c r="A11" t="str">
        <f>IF('Sample Information'!$A51="","",IF('Sample Information'!$L$9="","INIT",'Sample Information'!$L$9)&amp;ROW(A11)-2)</f>
        <v/>
      </c>
      <c r="B11" t="str">
        <f>IF('Sample Information'!C51="","",'Sample Information'!C51)</f>
        <v/>
      </c>
      <c r="D11" t="str">
        <f>IF('Sample Information'!E51="","",'Sample Information'!E51)</f>
        <v/>
      </c>
      <c r="E11" t="str">
        <f>IF('Sample Information'!F51="","",'Sample Information'!F51)</f>
        <v/>
      </c>
      <c r="F11" t="str">
        <f>IF('Sample Information'!G51="","",'Sample Information'!G51)</f>
        <v/>
      </c>
      <c r="G11" t="str">
        <f>IF('Sample Information'!H51="","",'Sample Information'!H51)</f>
        <v/>
      </c>
      <c r="I11" t="str">
        <f>IF('Sample Information'!J51="","",'Sample Information'!J51)</f>
        <v/>
      </c>
      <c r="K11" t="str">
        <f>IF('Sample Information'!L51="","",'Sample Information'!L51)</f>
        <v/>
      </c>
      <c r="L11" s="163">
        <f t="shared" si="0"/>
        <v>0</v>
      </c>
      <c r="M11" s="163">
        <f t="shared" si="1"/>
        <v>0</v>
      </c>
      <c r="N11" s="163">
        <f t="shared" si="2"/>
        <v>0</v>
      </c>
      <c r="O11" t="str">
        <f>SUBSTITUTE(StripChar(B11),"-","")</f>
        <v/>
      </c>
      <c r="P11" s="163">
        <f t="shared" si="3"/>
        <v>0</v>
      </c>
      <c r="Q11" s="163">
        <f t="shared" si="4"/>
        <v>0</v>
      </c>
      <c r="R11" t="str">
        <f t="shared" si="5"/>
        <v/>
      </c>
    </row>
    <row r="12" spans="1:18" x14ac:dyDescent="0.2">
      <c r="A12" t="str">
        <f>IF('Sample Information'!$A52="","",IF('Sample Information'!$L$9="","INIT",'Sample Information'!$L$9)&amp;ROW(A12)-2)</f>
        <v/>
      </c>
      <c r="B12" t="str">
        <f>IF('Sample Information'!C52="","",'Sample Information'!C52)</f>
        <v/>
      </c>
      <c r="D12" t="str">
        <f>IF('Sample Information'!E52="","",'Sample Information'!E52)</f>
        <v/>
      </c>
      <c r="E12" t="str">
        <f>IF('Sample Information'!F52="","",'Sample Information'!F52)</f>
        <v/>
      </c>
      <c r="F12" t="str">
        <f>IF('Sample Information'!G52="","",'Sample Information'!G52)</f>
        <v/>
      </c>
      <c r="G12" t="str">
        <f>IF('Sample Information'!H52="","",'Sample Information'!H52)</f>
        <v/>
      </c>
      <c r="I12" t="str">
        <f>IF('Sample Information'!J52="","",'Sample Information'!J52)</f>
        <v/>
      </c>
      <c r="K12" t="str">
        <f>IF('Sample Information'!L52="","",'Sample Information'!L52)</f>
        <v/>
      </c>
      <c r="L12" s="163">
        <f t="shared" si="0"/>
        <v>0</v>
      </c>
      <c r="M12" s="163">
        <f t="shared" si="1"/>
        <v>0</v>
      </c>
      <c r="N12" s="163">
        <f t="shared" si="2"/>
        <v>0</v>
      </c>
      <c r="O12" t="str">
        <f>SUBSTITUTE(StripChar(B12),"-","")</f>
        <v/>
      </c>
      <c r="P12" s="163">
        <f t="shared" si="3"/>
        <v>0</v>
      </c>
      <c r="Q12" s="163">
        <f t="shared" si="4"/>
        <v>0</v>
      </c>
      <c r="R12" t="str">
        <f t="shared" si="5"/>
        <v/>
      </c>
    </row>
    <row r="13" spans="1:18" x14ac:dyDescent="0.2">
      <c r="A13" t="str">
        <f>IF('Sample Information'!$A53="","",IF('Sample Information'!$L$9="","INIT",'Sample Information'!$L$9)&amp;ROW(A13)-2)</f>
        <v/>
      </c>
      <c r="B13" t="str">
        <f>IF('Sample Information'!C53="","",'Sample Information'!C53)</f>
        <v/>
      </c>
      <c r="D13" t="str">
        <f>IF('Sample Information'!E53="","",'Sample Information'!E53)</f>
        <v/>
      </c>
      <c r="E13" t="str">
        <f>IF('Sample Information'!F53="","",'Sample Information'!F53)</f>
        <v/>
      </c>
      <c r="F13" t="str">
        <f>IF('Sample Information'!G53="","",'Sample Information'!G53)</f>
        <v/>
      </c>
      <c r="G13" t="str">
        <f>IF('Sample Information'!H53="","",'Sample Information'!H53)</f>
        <v/>
      </c>
      <c r="I13" t="str">
        <f>IF('Sample Information'!J53="","",'Sample Information'!J53)</f>
        <v/>
      </c>
      <c r="K13" t="str">
        <f>IF('Sample Information'!L53="","",'Sample Information'!L53)</f>
        <v/>
      </c>
      <c r="L13" s="163">
        <f t="shared" si="0"/>
        <v>0</v>
      </c>
      <c r="M13" s="163">
        <f t="shared" si="1"/>
        <v>0</v>
      </c>
      <c r="N13" s="163">
        <f t="shared" si="2"/>
        <v>0</v>
      </c>
      <c r="O13" t="str">
        <f>SUBSTITUTE(StripChar(B13),"-","")</f>
        <v/>
      </c>
      <c r="P13" s="163">
        <f t="shared" si="3"/>
        <v>0</v>
      </c>
      <c r="Q13" s="163">
        <f t="shared" si="4"/>
        <v>0</v>
      </c>
      <c r="R13" t="str">
        <f t="shared" si="5"/>
        <v/>
      </c>
    </row>
    <row r="14" spans="1:18" x14ac:dyDescent="0.2">
      <c r="A14" t="str">
        <f>IF('Sample Information'!$A54="","",IF('Sample Information'!$L$9="","INIT",'Sample Information'!$L$9)&amp;ROW(A14)-2)</f>
        <v/>
      </c>
      <c r="B14" t="str">
        <f>IF('Sample Information'!C54="","",'Sample Information'!C54)</f>
        <v/>
      </c>
      <c r="D14" t="str">
        <f>IF('Sample Information'!E54="","",'Sample Information'!E54)</f>
        <v/>
      </c>
      <c r="E14" t="str">
        <f>IF('Sample Information'!F54="","",'Sample Information'!F54)</f>
        <v/>
      </c>
      <c r="F14" t="str">
        <f>IF('Sample Information'!G54="","",'Sample Information'!G54)</f>
        <v/>
      </c>
      <c r="G14" t="str">
        <f>IF('Sample Information'!H54="","",'Sample Information'!H54)</f>
        <v/>
      </c>
      <c r="I14" t="str">
        <f>IF('Sample Information'!J54="","",'Sample Information'!J54)</f>
        <v/>
      </c>
      <c r="K14" t="str">
        <f>IF('Sample Information'!L54="","",'Sample Information'!L54)</f>
        <v/>
      </c>
      <c r="L14" s="163">
        <f t="shared" si="0"/>
        <v>0</v>
      </c>
      <c r="M14" s="163">
        <f t="shared" si="1"/>
        <v>0</v>
      </c>
      <c r="N14" s="163">
        <f t="shared" si="2"/>
        <v>0</v>
      </c>
      <c r="O14" t="str">
        <f>SUBSTITUTE(StripChar(B14),"-","")</f>
        <v/>
      </c>
      <c r="P14" s="163">
        <f t="shared" si="3"/>
        <v>0</v>
      </c>
      <c r="Q14" s="163">
        <f t="shared" si="4"/>
        <v>0</v>
      </c>
      <c r="R14" t="str">
        <f t="shared" si="5"/>
        <v/>
      </c>
    </row>
    <row r="15" spans="1:18" x14ac:dyDescent="0.2">
      <c r="A15" t="str">
        <f>IF('Sample Information'!$A55="","",IF('Sample Information'!$L$9="","INIT",'Sample Information'!$L$9)&amp;ROW(A15)-2)</f>
        <v/>
      </c>
      <c r="B15" t="str">
        <f>IF('Sample Information'!C55="","",'Sample Information'!C55)</f>
        <v/>
      </c>
      <c r="D15" t="str">
        <f>IF('Sample Information'!E55="","",'Sample Information'!E55)</f>
        <v/>
      </c>
      <c r="E15" t="str">
        <f>IF('Sample Information'!F55="","",'Sample Information'!F55)</f>
        <v/>
      </c>
      <c r="F15" t="str">
        <f>IF('Sample Information'!G55="","",'Sample Information'!G55)</f>
        <v/>
      </c>
      <c r="G15" t="str">
        <f>IF('Sample Information'!H55="","",'Sample Information'!H55)</f>
        <v/>
      </c>
      <c r="I15" t="str">
        <f>IF('Sample Information'!J55="","",'Sample Information'!J55)</f>
        <v/>
      </c>
      <c r="K15" t="str">
        <f>IF('Sample Information'!L55="","",'Sample Information'!L55)</f>
        <v/>
      </c>
      <c r="L15" s="163">
        <f t="shared" si="0"/>
        <v>0</v>
      </c>
      <c r="M15" s="163">
        <f t="shared" si="1"/>
        <v>0</v>
      </c>
      <c r="N15" s="163">
        <f t="shared" si="2"/>
        <v>0</v>
      </c>
      <c r="O15" t="str">
        <f>SUBSTITUTE(StripChar(B15),"-","")</f>
        <v/>
      </c>
      <c r="P15" s="163">
        <f t="shared" si="3"/>
        <v>0</v>
      </c>
      <c r="Q15" s="163">
        <f t="shared" si="4"/>
        <v>0</v>
      </c>
      <c r="R15" t="str">
        <f t="shared" si="5"/>
        <v/>
      </c>
    </row>
    <row r="16" spans="1:18" x14ac:dyDescent="0.2">
      <c r="A16" t="str">
        <f>IF('Sample Information'!$A56="","",IF('Sample Information'!$L$9="","INIT",'Sample Information'!$L$9)&amp;ROW(A16)-2)</f>
        <v/>
      </c>
      <c r="B16" t="str">
        <f>IF('Sample Information'!C56="","",'Sample Information'!C56)</f>
        <v/>
      </c>
      <c r="D16" t="str">
        <f>IF('Sample Information'!E56="","",'Sample Information'!E56)</f>
        <v/>
      </c>
      <c r="E16" t="str">
        <f>IF('Sample Information'!F56="","",'Sample Information'!F56)</f>
        <v/>
      </c>
      <c r="F16" t="str">
        <f>IF('Sample Information'!G56="","",'Sample Information'!G56)</f>
        <v/>
      </c>
      <c r="G16" t="str">
        <f>IF('Sample Information'!H56="","",'Sample Information'!H56)</f>
        <v/>
      </c>
      <c r="I16" t="str">
        <f>IF('Sample Information'!J56="","",'Sample Information'!J56)</f>
        <v/>
      </c>
      <c r="K16" t="str">
        <f>IF('Sample Information'!L56="","",'Sample Information'!L56)</f>
        <v/>
      </c>
      <c r="L16" s="163">
        <f t="shared" si="0"/>
        <v>0</v>
      </c>
      <c r="M16" s="163">
        <f t="shared" si="1"/>
        <v>0</v>
      </c>
      <c r="N16" s="163">
        <f t="shared" si="2"/>
        <v>0</v>
      </c>
      <c r="O16" t="str">
        <f>SUBSTITUTE(StripChar(B16),"-","")</f>
        <v/>
      </c>
      <c r="P16" s="163">
        <f t="shared" si="3"/>
        <v>0</v>
      </c>
      <c r="Q16" s="163">
        <f t="shared" si="4"/>
        <v>0</v>
      </c>
      <c r="R16" t="str">
        <f t="shared" si="5"/>
        <v/>
      </c>
    </row>
    <row r="17" spans="1:18" x14ac:dyDescent="0.2">
      <c r="A17" t="str">
        <f>IF('Sample Information'!$A57="","",IF('Sample Information'!$L$9="","INIT",'Sample Information'!$L$9)&amp;ROW(A17)-2)</f>
        <v/>
      </c>
      <c r="B17" t="str">
        <f>IF('Sample Information'!C57="","",'Sample Information'!C57)</f>
        <v/>
      </c>
      <c r="D17" t="str">
        <f>IF('Sample Information'!E57="","",'Sample Information'!E57)</f>
        <v/>
      </c>
      <c r="E17" t="str">
        <f>IF('Sample Information'!F57="","",'Sample Information'!F57)</f>
        <v/>
      </c>
      <c r="F17" t="str">
        <f>IF('Sample Information'!G57="","",'Sample Information'!G57)</f>
        <v/>
      </c>
      <c r="G17" t="str">
        <f>IF('Sample Information'!H57="","",'Sample Information'!H57)</f>
        <v/>
      </c>
      <c r="I17" t="str">
        <f>IF('Sample Information'!J57="","",'Sample Information'!J57)</f>
        <v/>
      </c>
      <c r="K17" t="str">
        <f>IF('Sample Information'!L57="","",'Sample Information'!L57)</f>
        <v/>
      </c>
      <c r="L17" s="163">
        <f t="shared" si="0"/>
        <v>0</v>
      </c>
      <c r="M17" s="163">
        <f t="shared" si="1"/>
        <v>0</v>
      </c>
      <c r="N17" s="163">
        <f t="shared" si="2"/>
        <v>0</v>
      </c>
      <c r="O17" t="str">
        <f>SUBSTITUTE(StripChar(B17),"-","")</f>
        <v/>
      </c>
      <c r="P17" s="163">
        <f t="shared" si="3"/>
        <v>0</v>
      </c>
      <c r="Q17" s="163">
        <f t="shared" si="4"/>
        <v>0</v>
      </c>
      <c r="R17" t="str">
        <f t="shared" si="5"/>
        <v/>
      </c>
    </row>
    <row r="18" spans="1:18" x14ac:dyDescent="0.2">
      <c r="A18" t="str">
        <f>IF('Sample Information'!$A58="","",IF('Sample Information'!$L$9="","INIT",'Sample Information'!$L$9)&amp;ROW(A18)-2)</f>
        <v/>
      </c>
      <c r="B18" t="str">
        <f>IF('Sample Information'!C58="","",'Sample Information'!C58)</f>
        <v/>
      </c>
      <c r="D18" t="str">
        <f>IF('Sample Information'!E58="","",'Sample Information'!E58)</f>
        <v/>
      </c>
      <c r="E18" t="str">
        <f>IF('Sample Information'!F58="","",'Sample Information'!F58)</f>
        <v/>
      </c>
      <c r="F18" t="str">
        <f>IF('Sample Information'!G58="","",'Sample Information'!G58)</f>
        <v/>
      </c>
      <c r="G18" t="str">
        <f>IF('Sample Information'!H58="","",'Sample Information'!H58)</f>
        <v/>
      </c>
      <c r="I18" t="str">
        <f>IF('Sample Information'!J58="","",'Sample Information'!J58)</f>
        <v/>
      </c>
      <c r="K18" t="str">
        <f>IF('Sample Information'!L58="","",'Sample Information'!L58)</f>
        <v/>
      </c>
      <c r="L18" s="163">
        <f t="shared" si="0"/>
        <v>0</v>
      </c>
      <c r="M18" s="163">
        <f t="shared" si="1"/>
        <v>0</v>
      </c>
      <c r="N18" s="163">
        <f t="shared" si="2"/>
        <v>0</v>
      </c>
      <c r="O18" t="str">
        <f>SUBSTITUTE(StripChar(B18),"-","")</f>
        <v/>
      </c>
      <c r="P18" s="163">
        <f t="shared" si="3"/>
        <v>0</v>
      </c>
      <c r="Q18" s="163">
        <f t="shared" si="4"/>
        <v>0</v>
      </c>
      <c r="R18" t="str">
        <f t="shared" si="5"/>
        <v/>
      </c>
    </row>
    <row r="19" spans="1:18" x14ac:dyDescent="0.2">
      <c r="A19" t="str">
        <f>IF('Sample Information'!$A59="","",IF('Sample Information'!$L$9="","INIT",'Sample Information'!$L$9)&amp;ROW(A19)-2)</f>
        <v/>
      </c>
      <c r="B19" t="str">
        <f>IF('Sample Information'!C59="","",'Sample Information'!C59)</f>
        <v/>
      </c>
      <c r="D19" t="str">
        <f>IF('Sample Information'!E59="","",'Sample Information'!E59)</f>
        <v/>
      </c>
      <c r="E19" t="str">
        <f>IF('Sample Information'!F59="","",'Sample Information'!F59)</f>
        <v/>
      </c>
      <c r="F19" t="str">
        <f>IF('Sample Information'!G59="","",'Sample Information'!G59)</f>
        <v/>
      </c>
      <c r="G19" t="str">
        <f>IF('Sample Information'!H59="","",'Sample Information'!H59)</f>
        <v/>
      </c>
      <c r="I19" t="str">
        <f>IF('Sample Information'!J59="","",'Sample Information'!J59)</f>
        <v/>
      </c>
      <c r="K19" t="str">
        <f>IF('Sample Information'!L59="","",'Sample Information'!L59)</f>
        <v/>
      </c>
      <c r="L19" s="163">
        <f t="shared" si="0"/>
        <v>0</v>
      </c>
      <c r="M19" s="163">
        <f t="shared" si="1"/>
        <v>0</v>
      </c>
      <c r="N19" s="163">
        <f t="shared" si="2"/>
        <v>0</v>
      </c>
      <c r="O19" t="str">
        <f>SUBSTITUTE(StripChar(B19),"-","")</f>
        <v/>
      </c>
      <c r="P19" s="163">
        <f t="shared" si="3"/>
        <v>0</v>
      </c>
      <c r="Q19" s="163">
        <f t="shared" si="4"/>
        <v>0</v>
      </c>
      <c r="R19" t="str">
        <f t="shared" si="5"/>
        <v/>
      </c>
    </row>
    <row r="20" spans="1:18" x14ac:dyDescent="0.2">
      <c r="A20" t="str">
        <f>IF('Sample Information'!$A60="","",IF('Sample Information'!$L$9="","INIT",'Sample Information'!$L$9)&amp;ROW(A20)-2)</f>
        <v/>
      </c>
      <c r="B20" t="str">
        <f>IF('Sample Information'!C60="","",'Sample Information'!C60)</f>
        <v/>
      </c>
      <c r="D20" t="str">
        <f>IF('Sample Information'!E60="","",'Sample Information'!E60)</f>
        <v/>
      </c>
      <c r="E20" t="str">
        <f>IF('Sample Information'!F60="","",'Sample Information'!F60)</f>
        <v/>
      </c>
      <c r="F20" t="str">
        <f>IF('Sample Information'!G60="","",'Sample Information'!G60)</f>
        <v/>
      </c>
      <c r="G20" t="str">
        <f>IF('Sample Information'!H60="","",'Sample Information'!H60)</f>
        <v/>
      </c>
      <c r="I20" t="str">
        <f>IF('Sample Information'!J60="","",'Sample Information'!J60)</f>
        <v/>
      </c>
      <c r="K20" t="str">
        <f>IF('Sample Information'!L60="","",'Sample Information'!L60)</f>
        <v/>
      </c>
      <c r="L20" s="163">
        <f t="shared" si="0"/>
        <v>0</v>
      </c>
      <c r="M20" s="163">
        <f t="shared" si="1"/>
        <v>0</v>
      </c>
      <c r="N20" s="163">
        <f t="shared" si="2"/>
        <v>0</v>
      </c>
      <c r="O20" t="str">
        <f>SUBSTITUTE(StripChar(B20),"-","")</f>
        <v/>
      </c>
      <c r="P20" s="163">
        <f t="shared" si="3"/>
        <v>0</v>
      </c>
      <c r="Q20" s="163">
        <f t="shared" si="4"/>
        <v>0</v>
      </c>
      <c r="R20" t="str">
        <f t="shared" si="5"/>
        <v/>
      </c>
    </row>
    <row r="21" spans="1:18" x14ac:dyDescent="0.2">
      <c r="A21" t="str">
        <f>IF('Sample Information'!$A61="","",IF('Sample Information'!$L$9="","INIT",'Sample Information'!$L$9)&amp;ROW(A21)-2)</f>
        <v/>
      </c>
      <c r="B21" t="str">
        <f>IF('Sample Information'!C61="","",'Sample Information'!C61)</f>
        <v/>
      </c>
      <c r="D21" t="str">
        <f>IF('Sample Information'!E61="","",'Sample Information'!E61)</f>
        <v/>
      </c>
      <c r="E21" t="str">
        <f>IF('Sample Information'!F61="","",'Sample Information'!F61)</f>
        <v/>
      </c>
      <c r="F21" t="str">
        <f>IF('Sample Information'!G61="","",'Sample Information'!G61)</f>
        <v/>
      </c>
      <c r="G21" t="str">
        <f>IF('Sample Information'!H61="","",'Sample Information'!H61)</f>
        <v/>
      </c>
      <c r="I21" t="str">
        <f>IF('Sample Information'!J61="","",'Sample Information'!J61)</f>
        <v/>
      </c>
      <c r="K21" t="str">
        <f>IF('Sample Information'!L61="","",'Sample Information'!L61)</f>
        <v/>
      </c>
      <c r="L21" s="163">
        <f t="shared" si="0"/>
        <v>0</v>
      </c>
      <c r="M21" s="163">
        <f t="shared" si="1"/>
        <v>0</v>
      </c>
      <c r="N21" s="163">
        <f t="shared" si="2"/>
        <v>0</v>
      </c>
      <c r="O21" t="str">
        <f>SUBSTITUTE(StripChar(B21),"-","")</f>
        <v/>
      </c>
      <c r="P21" s="163">
        <f t="shared" si="3"/>
        <v>0</v>
      </c>
      <c r="Q21" s="163">
        <f t="shared" si="4"/>
        <v>0</v>
      </c>
      <c r="R21" t="str">
        <f t="shared" si="5"/>
        <v/>
      </c>
    </row>
    <row r="22" spans="1:18" x14ac:dyDescent="0.2">
      <c r="A22" t="str">
        <f>IF('Sample Information'!$A62="","",IF('Sample Information'!$L$9="","INIT",'Sample Information'!$L$9)&amp;ROW(A22)-2)</f>
        <v/>
      </c>
      <c r="B22" t="str">
        <f>IF('Sample Information'!C62="","",'Sample Information'!C62)</f>
        <v/>
      </c>
      <c r="D22" t="str">
        <f>IF('Sample Information'!E62="","",'Sample Information'!E62)</f>
        <v/>
      </c>
      <c r="E22" t="str">
        <f>IF('Sample Information'!F62="","",'Sample Information'!F62)</f>
        <v/>
      </c>
      <c r="F22" t="str">
        <f>IF('Sample Information'!G62="","",'Sample Information'!G62)</f>
        <v/>
      </c>
      <c r="G22" t="str">
        <f>IF('Sample Information'!H62="","",'Sample Information'!H62)</f>
        <v/>
      </c>
      <c r="I22" t="str">
        <f>IF('Sample Information'!J62="","",'Sample Information'!J62)</f>
        <v/>
      </c>
      <c r="K22" t="str">
        <f>IF('Sample Information'!L62="","",'Sample Information'!L62)</f>
        <v/>
      </c>
      <c r="L22" s="163">
        <f t="shared" si="0"/>
        <v>0</v>
      </c>
      <c r="M22" s="163">
        <f t="shared" si="1"/>
        <v>0</v>
      </c>
      <c r="N22" s="163">
        <f t="shared" si="2"/>
        <v>0</v>
      </c>
      <c r="O22" t="str">
        <f>SUBSTITUTE(StripChar(B22),"-","")</f>
        <v/>
      </c>
      <c r="P22" s="163">
        <f t="shared" si="3"/>
        <v>0</v>
      </c>
      <c r="Q22" s="163">
        <f t="shared" si="4"/>
        <v>0</v>
      </c>
      <c r="R22" t="str">
        <f t="shared" si="5"/>
        <v/>
      </c>
    </row>
    <row r="23" spans="1:18" x14ac:dyDescent="0.2">
      <c r="A23" t="str">
        <f>IF('Sample Information'!$A63="","",IF('Sample Information'!$L$9="","INIT",'Sample Information'!$L$9)&amp;ROW(A23)-2)</f>
        <v/>
      </c>
      <c r="B23" t="str">
        <f>IF('Sample Information'!C63="","",'Sample Information'!C63)</f>
        <v/>
      </c>
      <c r="D23" t="str">
        <f>IF('Sample Information'!E63="","",'Sample Information'!E63)</f>
        <v/>
      </c>
      <c r="E23" t="str">
        <f>IF('Sample Information'!F63="","",'Sample Information'!F63)</f>
        <v/>
      </c>
      <c r="F23" t="str">
        <f>IF('Sample Information'!G63="","",'Sample Information'!G63)</f>
        <v/>
      </c>
      <c r="G23" t="str">
        <f>IF('Sample Information'!H63="","",'Sample Information'!H63)</f>
        <v/>
      </c>
      <c r="I23" t="str">
        <f>IF('Sample Information'!J63="","",'Sample Information'!J63)</f>
        <v/>
      </c>
      <c r="K23" t="str">
        <f>IF('Sample Information'!L63="","",'Sample Information'!L63)</f>
        <v/>
      </c>
      <c r="L23" s="163">
        <f t="shared" si="0"/>
        <v>0</v>
      </c>
      <c r="M23" s="163">
        <f t="shared" si="1"/>
        <v>0</v>
      </c>
      <c r="N23" s="163">
        <f t="shared" si="2"/>
        <v>0</v>
      </c>
      <c r="O23" t="str">
        <f>SUBSTITUTE(StripChar(B23),"-","")</f>
        <v/>
      </c>
      <c r="P23" s="163">
        <f t="shared" si="3"/>
        <v>0</v>
      </c>
      <c r="Q23" s="163">
        <f t="shared" si="4"/>
        <v>0</v>
      </c>
      <c r="R23" t="str">
        <f t="shared" si="5"/>
        <v/>
      </c>
    </row>
    <row r="24" spans="1:18" x14ac:dyDescent="0.2">
      <c r="A24" t="str">
        <f>IF('Sample Information'!$A64="","",IF('Sample Information'!$L$9="","INIT",'Sample Information'!$L$9)&amp;ROW(A24)-2)</f>
        <v/>
      </c>
      <c r="B24" t="str">
        <f>IF('Sample Information'!C64="","",'Sample Information'!C64)</f>
        <v/>
      </c>
      <c r="D24" t="str">
        <f>IF('Sample Information'!E64="","",'Sample Information'!E64)</f>
        <v/>
      </c>
      <c r="E24" t="str">
        <f>IF('Sample Information'!F64="","",'Sample Information'!F64)</f>
        <v/>
      </c>
      <c r="F24" t="str">
        <f>IF('Sample Information'!G64="","",'Sample Information'!G64)</f>
        <v/>
      </c>
      <c r="G24" t="str">
        <f>IF('Sample Information'!H64="","",'Sample Information'!H64)</f>
        <v/>
      </c>
      <c r="I24" t="str">
        <f>IF('Sample Information'!J64="","",'Sample Information'!J64)</f>
        <v/>
      </c>
      <c r="K24" t="str">
        <f>IF('Sample Information'!L64="","",'Sample Information'!L64)</f>
        <v/>
      </c>
      <c r="L24" s="163">
        <f t="shared" si="0"/>
        <v>0</v>
      </c>
      <c r="M24" s="163">
        <f t="shared" si="1"/>
        <v>0</v>
      </c>
      <c r="N24" s="163">
        <f t="shared" si="2"/>
        <v>0</v>
      </c>
      <c r="O24" t="str">
        <f>SUBSTITUTE(StripChar(B24),"-","")</f>
        <v/>
      </c>
      <c r="P24" s="163">
        <f t="shared" si="3"/>
        <v>0</v>
      </c>
      <c r="Q24" s="163">
        <f t="shared" si="4"/>
        <v>0</v>
      </c>
      <c r="R24" t="str">
        <f t="shared" si="5"/>
        <v/>
      </c>
    </row>
    <row r="25" spans="1:18" x14ac:dyDescent="0.2">
      <c r="A25" t="str">
        <f>IF('Sample Information'!$A65="","",IF('Sample Information'!$L$9="","INIT",'Sample Information'!$L$9)&amp;ROW(A25)-2)</f>
        <v/>
      </c>
      <c r="B25" t="str">
        <f>IF('Sample Information'!C65="","",'Sample Information'!C65)</f>
        <v/>
      </c>
      <c r="D25" t="str">
        <f>IF('Sample Information'!E65="","",'Sample Information'!E65)</f>
        <v/>
      </c>
      <c r="E25" t="str">
        <f>IF('Sample Information'!F65="","",'Sample Information'!F65)</f>
        <v/>
      </c>
      <c r="F25" t="str">
        <f>IF('Sample Information'!G65="","",'Sample Information'!G65)</f>
        <v/>
      </c>
      <c r="G25" t="str">
        <f>IF('Sample Information'!H65="","",'Sample Information'!H65)</f>
        <v/>
      </c>
      <c r="I25" t="str">
        <f>IF('Sample Information'!J65="","",'Sample Information'!J65)</f>
        <v/>
      </c>
      <c r="K25" t="str">
        <f>IF('Sample Information'!L65="","",'Sample Information'!L65)</f>
        <v/>
      </c>
      <c r="L25" s="163">
        <f t="shared" si="0"/>
        <v>0</v>
      </c>
      <c r="M25" s="163">
        <f t="shared" si="1"/>
        <v>0</v>
      </c>
      <c r="N25" s="163">
        <f t="shared" si="2"/>
        <v>0</v>
      </c>
      <c r="O25" t="str">
        <f>SUBSTITUTE(StripChar(B25),"-","")</f>
        <v/>
      </c>
      <c r="P25" s="163">
        <f t="shared" si="3"/>
        <v>0</v>
      </c>
      <c r="Q25" s="163">
        <f t="shared" si="4"/>
        <v>0</v>
      </c>
      <c r="R25" t="str">
        <f t="shared" si="5"/>
        <v/>
      </c>
    </row>
    <row r="26" spans="1:18" x14ac:dyDescent="0.2">
      <c r="A26" t="str">
        <f>IF('Sample Information'!$A66="","",IF('Sample Information'!$L$9="","INIT",'Sample Information'!$L$9)&amp;ROW(A26)-2)</f>
        <v/>
      </c>
      <c r="B26" t="str">
        <f>IF('Sample Information'!C66="","",'Sample Information'!C66)</f>
        <v/>
      </c>
      <c r="D26" t="str">
        <f>IF('Sample Information'!E66="","",'Sample Information'!E66)</f>
        <v/>
      </c>
      <c r="E26" t="str">
        <f>IF('Sample Information'!F66="","",'Sample Information'!F66)</f>
        <v/>
      </c>
      <c r="F26" t="str">
        <f>IF('Sample Information'!G66="","",'Sample Information'!G66)</f>
        <v/>
      </c>
      <c r="G26" t="str">
        <f>IF('Sample Information'!H66="","",'Sample Information'!H66)</f>
        <v/>
      </c>
      <c r="I26" t="str">
        <f>IF('Sample Information'!J66="","",'Sample Information'!J66)</f>
        <v/>
      </c>
      <c r="K26" t="str">
        <f>IF('Sample Information'!L66="","",'Sample Information'!L66)</f>
        <v/>
      </c>
      <c r="L26" s="163">
        <f t="shared" si="0"/>
        <v>0</v>
      </c>
      <c r="M26" s="163">
        <f t="shared" si="1"/>
        <v>0</v>
      </c>
      <c r="N26" s="163">
        <f t="shared" si="2"/>
        <v>0</v>
      </c>
      <c r="O26" t="str">
        <f>SUBSTITUTE(StripChar(B26),"-","")</f>
        <v/>
      </c>
      <c r="P26" s="163">
        <f t="shared" si="3"/>
        <v>0</v>
      </c>
      <c r="Q26" s="163">
        <f t="shared" si="4"/>
        <v>0</v>
      </c>
      <c r="R26" t="str">
        <f t="shared" si="5"/>
        <v/>
      </c>
    </row>
    <row r="27" spans="1:18" x14ac:dyDescent="0.2">
      <c r="A27" t="str">
        <f>IF('Sample Information'!$A67="","",IF('Sample Information'!$L$9="","INIT",'Sample Information'!$L$9)&amp;ROW(A27)-2)</f>
        <v/>
      </c>
      <c r="B27" t="str">
        <f>IF('Sample Information'!C67="","",'Sample Information'!C67)</f>
        <v/>
      </c>
      <c r="D27" t="str">
        <f>IF('Sample Information'!E67="","",'Sample Information'!E67)</f>
        <v/>
      </c>
      <c r="E27" t="str">
        <f>IF('Sample Information'!F67="","",'Sample Information'!F67)</f>
        <v/>
      </c>
      <c r="F27" t="str">
        <f>IF('Sample Information'!G67="","",'Sample Information'!G67)</f>
        <v/>
      </c>
      <c r="G27" t="str">
        <f>IF('Sample Information'!H67="","",'Sample Information'!H67)</f>
        <v/>
      </c>
      <c r="I27" t="str">
        <f>IF('Sample Information'!J67="","",'Sample Information'!J67)</f>
        <v/>
      </c>
      <c r="K27" t="str">
        <f>IF('Sample Information'!L67="","",'Sample Information'!L67)</f>
        <v/>
      </c>
      <c r="L27" s="163">
        <f t="shared" si="0"/>
        <v>0</v>
      </c>
      <c r="M27" s="163">
        <f t="shared" si="1"/>
        <v>0</v>
      </c>
      <c r="N27" s="163">
        <f t="shared" si="2"/>
        <v>0</v>
      </c>
      <c r="O27" t="str">
        <f>SUBSTITUTE(StripChar(B27),"-","")</f>
        <v/>
      </c>
      <c r="P27" s="163">
        <f t="shared" si="3"/>
        <v>0</v>
      </c>
      <c r="Q27" s="163">
        <f t="shared" si="4"/>
        <v>0</v>
      </c>
      <c r="R27" t="str">
        <f t="shared" si="5"/>
        <v/>
      </c>
    </row>
    <row r="28" spans="1:18" x14ac:dyDescent="0.2">
      <c r="A28" t="str">
        <f>IF('Sample Information'!$A68="","",IF('Sample Information'!$L$9="","INIT",'Sample Information'!$L$9)&amp;ROW(A28)-2)</f>
        <v/>
      </c>
      <c r="B28" t="str">
        <f>IF('Sample Information'!C68="","",'Sample Information'!C68)</f>
        <v/>
      </c>
      <c r="D28" t="str">
        <f>IF('Sample Information'!E68="","",'Sample Information'!E68)</f>
        <v/>
      </c>
      <c r="E28" t="str">
        <f>IF('Sample Information'!F68="","",'Sample Information'!F68)</f>
        <v/>
      </c>
      <c r="F28" t="str">
        <f>IF('Sample Information'!G68="","",'Sample Information'!G68)</f>
        <v/>
      </c>
      <c r="G28" t="str">
        <f>IF('Sample Information'!H68="","",'Sample Information'!H68)</f>
        <v/>
      </c>
      <c r="I28" t="str">
        <f>IF('Sample Information'!J68="","",'Sample Information'!J68)</f>
        <v/>
      </c>
      <c r="K28" t="str">
        <f>IF('Sample Information'!L68="","",'Sample Information'!L68)</f>
        <v/>
      </c>
      <c r="L28" s="163">
        <f t="shared" si="0"/>
        <v>0</v>
      </c>
      <c r="M28" s="163">
        <f t="shared" si="1"/>
        <v>0</v>
      </c>
      <c r="N28" s="163">
        <f t="shared" si="2"/>
        <v>0</v>
      </c>
      <c r="O28" t="str">
        <f>SUBSTITUTE(StripChar(B28),"-","")</f>
        <v/>
      </c>
      <c r="P28" s="163">
        <f t="shared" si="3"/>
        <v>0</v>
      </c>
      <c r="Q28" s="163">
        <f t="shared" si="4"/>
        <v>0</v>
      </c>
      <c r="R28" t="str">
        <f t="shared" si="5"/>
        <v/>
      </c>
    </row>
    <row r="29" spans="1:18" x14ac:dyDescent="0.2">
      <c r="A29" t="str">
        <f>IF('Sample Information'!$A69="","",IF('Sample Information'!$L$9="","INIT",'Sample Information'!$L$9)&amp;ROW(A29)-2)</f>
        <v/>
      </c>
      <c r="B29" t="str">
        <f>IF('Sample Information'!C69="","",'Sample Information'!C69)</f>
        <v/>
      </c>
      <c r="D29" t="str">
        <f>IF('Sample Information'!E69="","",'Sample Information'!E69)</f>
        <v/>
      </c>
      <c r="E29" t="str">
        <f>IF('Sample Information'!F69="","",'Sample Information'!F69)</f>
        <v/>
      </c>
      <c r="F29" t="str">
        <f>IF('Sample Information'!G69="","",'Sample Information'!G69)</f>
        <v/>
      </c>
      <c r="G29" t="str">
        <f>IF('Sample Information'!H69="","",'Sample Information'!H69)</f>
        <v/>
      </c>
      <c r="I29" t="str">
        <f>IF('Sample Information'!J69="","",'Sample Information'!J69)</f>
        <v/>
      </c>
      <c r="K29" t="str">
        <f>IF('Sample Information'!L69="","",'Sample Information'!L69)</f>
        <v/>
      </c>
      <c r="L29" s="163">
        <f t="shared" si="0"/>
        <v>0</v>
      </c>
      <c r="M29" s="163">
        <f t="shared" si="1"/>
        <v>0</v>
      </c>
      <c r="N29" s="163">
        <f t="shared" si="2"/>
        <v>0</v>
      </c>
      <c r="O29" t="str">
        <f>SUBSTITUTE(StripChar(B29),"-","")</f>
        <v/>
      </c>
      <c r="P29" s="163">
        <f t="shared" si="3"/>
        <v>0</v>
      </c>
      <c r="Q29" s="163">
        <f t="shared" si="4"/>
        <v>0</v>
      </c>
      <c r="R29" t="str">
        <f t="shared" si="5"/>
        <v/>
      </c>
    </row>
    <row r="30" spans="1:18" x14ac:dyDescent="0.2">
      <c r="A30" t="str">
        <f>IF('Sample Information'!$A70="","",IF('Sample Information'!$L$9="","INIT",'Sample Information'!$L$9)&amp;ROW(A30)-2)</f>
        <v/>
      </c>
      <c r="B30" t="str">
        <f>IF('Sample Information'!C70="","",'Sample Information'!C70)</f>
        <v/>
      </c>
      <c r="D30" t="str">
        <f>IF('Sample Information'!E70="","",'Sample Information'!E70)</f>
        <v/>
      </c>
      <c r="E30" t="str">
        <f>IF('Sample Information'!F70="","",'Sample Information'!F70)</f>
        <v/>
      </c>
      <c r="F30" t="str">
        <f>IF('Sample Information'!G70="","",'Sample Information'!G70)</f>
        <v/>
      </c>
      <c r="G30" t="str">
        <f>IF('Sample Information'!H70="","",'Sample Information'!H70)</f>
        <v/>
      </c>
      <c r="I30" t="str">
        <f>IF('Sample Information'!J70="","",'Sample Information'!J70)</f>
        <v/>
      </c>
      <c r="K30" t="str">
        <f>IF('Sample Information'!L70="","",'Sample Information'!L70)</f>
        <v/>
      </c>
      <c r="L30" s="163">
        <f t="shared" si="0"/>
        <v>0</v>
      </c>
      <c r="M30" s="163">
        <f t="shared" si="1"/>
        <v>0</v>
      </c>
      <c r="N30" s="163">
        <f t="shared" si="2"/>
        <v>0</v>
      </c>
      <c r="O30" t="str">
        <f>SUBSTITUTE(StripChar(B30),"-","")</f>
        <v/>
      </c>
      <c r="P30" s="163">
        <f t="shared" si="3"/>
        <v>0</v>
      </c>
      <c r="Q30" s="163">
        <f t="shared" si="4"/>
        <v>0</v>
      </c>
      <c r="R30" t="str">
        <f t="shared" si="5"/>
        <v/>
      </c>
    </row>
    <row r="31" spans="1:18" x14ac:dyDescent="0.2">
      <c r="A31" t="str">
        <f>IF('Sample Information'!$A71="","",IF('Sample Information'!$L$9="","INIT",'Sample Information'!$L$9)&amp;ROW(A31)-2)</f>
        <v/>
      </c>
      <c r="B31" t="str">
        <f>IF('Sample Information'!C71="","",'Sample Information'!C71)</f>
        <v/>
      </c>
      <c r="D31" t="str">
        <f>IF('Sample Information'!E71="","",'Sample Information'!E71)</f>
        <v/>
      </c>
      <c r="E31" t="str">
        <f>IF('Sample Information'!F71="","",'Sample Information'!F71)</f>
        <v/>
      </c>
      <c r="F31" t="str">
        <f>IF('Sample Information'!G71="","",'Sample Information'!G71)</f>
        <v/>
      </c>
      <c r="G31" t="str">
        <f>IF('Sample Information'!H71="","",'Sample Information'!H71)</f>
        <v/>
      </c>
      <c r="I31" t="str">
        <f>IF('Sample Information'!J71="","",'Sample Information'!J71)</f>
        <v/>
      </c>
      <c r="K31" t="str">
        <f>IF('Sample Information'!L71="","",'Sample Information'!L71)</f>
        <v/>
      </c>
      <c r="L31" s="163">
        <f t="shared" si="0"/>
        <v>0</v>
      </c>
      <c r="M31" s="163">
        <f t="shared" si="1"/>
        <v>0</v>
      </c>
      <c r="N31" s="163">
        <f t="shared" si="2"/>
        <v>0</v>
      </c>
      <c r="O31" t="str">
        <f>SUBSTITUTE(StripChar(B31),"-","")</f>
        <v/>
      </c>
      <c r="P31" s="163">
        <f t="shared" si="3"/>
        <v>0</v>
      </c>
      <c r="Q31" s="163">
        <f t="shared" si="4"/>
        <v>0</v>
      </c>
      <c r="R31" t="str">
        <f t="shared" si="5"/>
        <v/>
      </c>
    </row>
    <row r="32" spans="1:18" x14ac:dyDescent="0.2">
      <c r="A32" t="str">
        <f>IF('Sample Information'!$A72="","",IF('Sample Information'!$L$9="","INIT",'Sample Information'!$L$9)&amp;ROW(A32)-2)</f>
        <v/>
      </c>
      <c r="B32" t="str">
        <f>IF('Sample Information'!C72="","",'Sample Information'!C72)</f>
        <v/>
      </c>
      <c r="D32" t="str">
        <f>IF('Sample Information'!E72="","",'Sample Information'!E72)</f>
        <v/>
      </c>
      <c r="E32" t="str">
        <f>IF('Sample Information'!F72="","",'Sample Information'!F72)</f>
        <v/>
      </c>
      <c r="F32" t="str">
        <f>IF('Sample Information'!G72="","",'Sample Information'!G72)</f>
        <v/>
      </c>
      <c r="G32" t="str">
        <f>IF('Sample Information'!H72="","",'Sample Information'!H72)</f>
        <v/>
      </c>
      <c r="I32" t="str">
        <f>IF('Sample Information'!J72="","",'Sample Information'!J72)</f>
        <v/>
      </c>
      <c r="K32" t="str">
        <f>IF('Sample Information'!L72="","",'Sample Information'!L72)</f>
        <v/>
      </c>
      <c r="L32" s="163">
        <f t="shared" si="0"/>
        <v>0</v>
      </c>
      <c r="M32" s="163">
        <f t="shared" si="1"/>
        <v>0</v>
      </c>
      <c r="N32" s="163">
        <f t="shared" si="2"/>
        <v>0</v>
      </c>
      <c r="O32" t="str">
        <f>SUBSTITUTE(StripChar(B32),"-","")</f>
        <v/>
      </c>
      <c r="P32" s="163">
        <f t="shared" si="3"/>
        <v>0</v>
      </c>
      <c r="Q32" s="163">
        <f t="shared" si="4"/>
        <v>0</v>
      </c>
      <c r="R32" t="str">
        <f t="shared" si="5"/>
        <v/>
      </c>
    </row>
    <row r="33" spans="1:18" x14ac:dyDescent="0.2">
      <c r="A33" t="str">
        <f>IF('Sample Information'!$A73="","",IF('Sample Information'!$L$9="","INIT",'Sample Information'!$L$9)&amp;ROW(A33)-2)</f>
        <v/>
      </c>
      <c r="B33" t="str">
        <f>IF('Sample Information'!C73="","",'Sample Information'!C73)</f>
        <v/>
      </c>
      <c r="D33" t="str">
        <f>IF('Sample Information'!E73="","",'Sample Information'!E73)</f>
        <v/>
      </c>
      <c r="E33" t="str">
        <f>IF('Sample Information'!F73="","",'Sample Information'!F73)</f>
        <v/>
      </c>
      <c r="F33" t="str">
        <f>IF('Sample Information'!G73="","",'Sample Information'!G73)</f>
        <v/>
      </c>
      <c r="G33" t="str">
        <f>IF('Sample Information'!H73="","",'Sample Information'!H73)</f>
        <v/>
      </c>
      <c r="I33" t="str">
        <f>IF('Sample Information'!J73="","",'Sample Information'!J73)</f>
        <v/>
      </c>
      <c r="K33" t="str">
        <f>IF('Sample Information'!L73="","",'Sample Information'!L73)</f>
        <v/>
      </c>
      <c r="L33" s="163">
        <f t="shared" si="0"/>
        <v>0</v>
      </c>
      <c r="M33" s="163">
        <f t="shared" si="1"/>
        <v>0</v>
      </c>
      <c r="N33" s="163">
        <f t="shared" si="2"/>
        <v>0</v>
      </c>
      <c r="O33" t="str">
        <f>SUBSTITUTE(StripChar(B33),"-","")</f>
        <v/>
      </c>
      <c r="P33" s="163">
        <f t="shared" si="3"/>
        <v>0</v>
      </c>
      <c r="Q33" s="163">
        <f t="shared" si="4"/>
        <v>0</v>
      </c>
      <c r="R33" t="str">
        <f t="shared" si="5"/>
        <v/>
      </c>
    </row>
    <row r="34" spans="1:18" x14ac:dyDescent="0.2">
      <c r="A34" t="str">
        <f>IF('Sample Information'!$A74="","",IF('Sample Information'!$L$9="","INIT",'Sample Information'!$L$9)&amp;ROW(A34)-2)</f>
        <v/>
      </c>
      <c r="B34" t="str">
        <f>IF('Sample Information'!C74="","",'Sample Information'!C74)</f>
        <v/>
      </c>
      <c r="D34" t="str">
        <f>IF('Sample Information'!E74="","",'Sample Information'!E74)</f>
        <v/>
      </c>
      <c r="E34" t="str">
        <f>IF('Sample Information'!F74="","",'Sample Information'!F74)</f>
        <v/>
      </c>
      <c r="F34" t="str">
        <f>IF('Sample Information'!G74="","",'Sample Information'!G74)</f>
        <v/>
      </c>
      <c r="G34" t="str">
        <f>IF('Sample Information'!H74="","",'Sample Information'!H74)</f>
        <v/>
      </c>
      <c r="I34" t="str">
        <f>IF('Sample Information'!J74="","",'Sample Information'!J74)</f>
        <v/>
      </c>
      <c r="K34" t="str">
        <f>IF('Sample Information'!L74="","",'Sample Information'!L74)</f>
        <v/>
      </c>
      <c r="L34" s="163">
        <f t="shared" si="0"/>
        <v>0</v>
      </c>
      <c r="M34" s="163">
        <f t="shared" si="1"/>
        <v>0</v>
      </c>
      <c r="N34" s="163">
        <f t="shared" si="2"/>
        <v>0</v>
      </c>
      <c r="O34" t="str">
        <f>SUBSTITUTE(StripChar(B34),"-","")</f>
        <v/>
      </c>
      <c r="P34" s="163">
        <f t="shared" si="3"/>
        <v>0</v>
      </c>
      <c r="Q34" s="163">
        <f t="shared" si="4"/>
        <v>0</v>
      </c>
      <c r="R34" t="str">
        <f t="shared" si="5"/>
        <v/>
      </c>
    </row>
    <row r="35" spans="1:18" x14ac:dyDescent="0.2">
      <c r="A35" t="str">
        <f>IF('Sample Information'!$A75="","",IF('Sample Information'!$L$9="","INIT",'Sample Information'!$L$9)&amp;ROW(A35)-2)</f>
        <v/>
      </c>
      <c r="B35" t="str">
        <f>IF('Sample Information'!C75="","",'Sample Information'!C75)</f>
        <v/>
      </c>
      <c r="D35" t="str">
        <f>IF('Sample Information'!E75="","",'Sample Information'!E75)</f>
        <v/>
      </c>
      <c r="E35" t="str">
        <f>IF('Sample Information'!F75="","",'Sample Information'!F75)</f>
        <v/>
      </c>
      <c r="F35" t="str">
        <f>IF('Sample Information'!G75="","",'Sample Information'!G75)</f>
        <v/>
      </c>
      <c r="G35" t="str">
        <f>IF('Sample Information'!H75="","",'Sample Information'!H75)</f>
        <v/>
      </c>
      <c r="I35" t="str">
        <f>IF('Sample Information'!J75="","",'Sample Information'!J75)</f>
        <v/>
      </c>
      <c r="K35" t="str">
        <f>IF('Sample Information'!L75="","",'Sample Information'!L75)</f>
        <v/>
      </c>
      <c r="L35" s="163">
        <f t="shared" si="0"/>
        <v>0</v>
      </c>
      <c r="M35" s="163">
        <f t="shared" si="1"/>
        <v>0</v>
      </c>
      <c r="N35" s="163">
        <f t="shared" si="2"/>
        <v>0</v>
      </c>
      <c r="O35" t="str">
        <f>SUBSTITUTE(StripChar(B35),"-","")</f>
        <v/>
      </c>
      <c r="P35" s="163">
        <f t="shared" si="3"/>
        <v>0</v>
      </c>
      <c r="Q35" s="163">
        <f t="shared" si="4"/>
        <v>0</v>
      </c>
      <c r="R35" t="str">
        <f t="shared" si="5"/>
        <v/>
      </c>
    </row>
    <row r="36" spans="1:18" x14ac:dyDescent="0.2">
      <c r="A36" t="str">
        <f>IF('Sample Information'!$A76="","",IF('Sample Information'!$L$9="","INIT",'Sample Information'!$L$9)&amp;ROW(A36)-2)</f>
        <v/>
      </c>
      <c r="B36" t="str">
        <f>IF('Sample Information'!C76="","",'Sample Information'!C76)</f>
        <v/>
      </c>
      <c r="D36" t="str">
        <f>IF('Sample Information'!E76="","",'Sample Information'!E76)</f>
        <v/>
      </c>
      <c r="E36" t="str">
        <f>IF('Sample Information'!F76="","",'Sample Information'!F76)</f>
        <v/>
      </c>
      <c r="F36" t="str">
        <f>IF('Sample Information'!G76="","",'Sample Information'!G76)</f>
        <v/>
      </c>
      <c r="G36" t="str">
        <f>IF('Sample Information'!H76="","",'Sample Information'!H76)</f>
        <v/>
      </c>
      <c r="I36" t="str">
        <f>IF('Sample Information'!J76="","",'Sample Information'!J76)</f>
        <v/>
      </c>
      <c r="K36" t="str">
        <f>IF('Sample Information'!L76="","",'Sample Information'!L76)</f>
        <v/>
      </c>
      <c r="L36" s="163">
        <f t="shared" si="0"/>
        <v>0</v>
      </c>
      <c r="M36" s="163">
        <f t="shared" si="1"/>
        <v>0</v>
      </c>
      <c r="N36" s="163">
        <f t="shared" si="2"/>
        <v>0</v>
      </c>
      <c r="O36" t="str">
        <f>SUBSTITUTE(StripChar(B36),"-","")</f>
        <v/>
      </c>
      <c r="P36" s="163">
        <f t="shared" si="3"/>
        <v>0</v>
      </c>
      <c r="Q36" s="163">
        <f t="shared" si="4"/>
        <v>0</v>
      </c>
      <c r="R36" t="str">
        <f t="shared" si="5"/>
        <v/>
      </c>
    </row>
    <row r="37" spans="1:18" x14ac:dyDescent="0.2">
      <c r="A37" t="str">
        <f>IF('Sample Information'!$A77="","",IF('Sample Information'!$L$9="","INIT",'Sample Information'!$L$9)&amp;ROW(A37)-2)</f>
        <v/>
      </c>
      <c r="B37" t="str">
        <f>IF('Sample Information'!C77="","",'Sample Information'!C77)</f>
        <v/>
      </c>
      <c r="D37" t="str">
        <f>IF('Sample Information'!E77="","",'Sample Information'!E77)</f>
        <v/>
      </c>
      <c r="E37" t="str">
        <f>IF('Sample Information'!F77="","",'Sample Information'!F77)</f>
        <v/>
      </c>
      <c r="F37" t="str">
        <f>IF('Sample Information'!G77="","",'Sample Information'!G77)</f>
        <v/>
      </c>
      <c r="G37" t="str">
        <f>IF('Sample Information'!H77="","",'Sample Information'!H77)</f>
        <v/>
      </c>
      <c r="I37" t="str">
        <f>IF('Sample Information'!J77="","",'Sample Information'!J77)</f>
        <v/>
      </c>
      <c r="K37" t="str">
        <f>IF('Sample Information'!L77="","",'Sample Information'!L77)</f>
        <v/>
      </c>
      <c r="L37" s="163">
        <f t="shared" si="0"/>
        <v>0</v>
      </c>
      <c r="M37" s="163">
        <f t="shared" si="1"/>
        <v>0</v>
      </c>
      <c r="N37" s="163">
        <f t="shared" si="2"/>
        <v>0</v>
      </c>
      <c r="O37" t="str">
        <f>SUBSTITUTE(StripChar(B37),"-","")</f>
        <v/>
      </c>
      <c r="P37" s="163">
        <f t="shared" si="3"/>
        <v>0</v>
      </c>
      <c r="Q37" s="163">
        <f t="shared" si="4"/>
        <v>0</v>
      </c>
      <c r="R37" t="str">
        <f t="shared" si="5"/>
        <v/>
      </c>
    </row>
    <row r="38" spans="1:18" x14ac:dyDescent="0.2">
      <c r="A38" t="str">
        <f>IF('Sample Information'!$A78="","",IF('Sample Information'!$L$9="","INIT",'Sample Information'!$L$9)&amp;ROW(A38)-2)</f>
        <v/>
      </c>
      <c r="B38" t="str">
        <f>IF('Sample Information'!C78="","",'Sample Information'!C78)</f>
        <v/>
      </c>
      <c r="D38" t="str">
        <f>IF('Sample Information'!E78="","",'Sample Information'!E78)</f>
        <v/>
      </c>
      <c r="E38" t="str">
        <f>IF('Sample Information'!F78="","",'Sample Information'!F78)</f>
        <v/>
      </c>
      <c r="F38" t="str">
        <f>IF('Sample Information'!G78="","",'Sample Information'!G78)</f>
        <v/>
      </c>
      <c r="G38" t="str">
        <f>IF('Sample Information'!H78="","",'Sample Information'!H78)</f>
        <v/>
      </c>
      <c r="I38" t="str">
        <f>IF('Sample Information'!J78="","",'Sample Information'!J78)</f>
        <v/>
      </c>
      <c r="K38" t="str">
        <f>IF('Sample Information'!L78="","",'Sample Information'!L78)</f>
        <v/>
      </c>
      <c r="L38" s="163">
        <f t="shared" si="0"/>
        <v>0</v>
      </c>
      <c r="M38" s="163">
        <f t="shared" si="1"/>
        <v>0</v>
      </c>
      <c r="N38" s="163">
        <f t="shared" si="2"/>
        <v>0</v>
      </c>
      <c r="O38" t="str">
        <f>SUBSTITUTE(StripChar(B38),"-","")</f>
        <v/>
      </c>
      <c r="P38" s="163">
        <f t="shared" si="3"/>
        <v>0</v>
      </c>
      <c r="Q38" s="163">
        <f t="shared" si="4"/>
        <v>0</v>
      </c>
      <c r="R38" t="str">
        <f t="shared" si="5"/>
        <v/>
      </c>
    </row>
    <row r="39" spans="1:18" x14ac:dyDescent="0.2">
      <c r="A39" t="str">
        <f>IF('Sample Information'!$A79="","",IF('Sample Information'!$L$9="","INIT",'Sample Information'!$L$9)&amp;ROW(A39)-2)</f>
        <v/>
      </c>
      <c r="B39" t="str">
        <f>IF('Sample Information'!C79="","",'Sample Information'!C79)</f>
        <v/>
      </c>
      <c r="D39" t="str">
        <f>IF('Sample Information'!E79="","",'Sample Information'!E79)</f>
        <v/>
      </c>
      <c r="E39" t="str">
        <f>IF('Sample Information'!F79="","",'Sample Information'!F79)</f>
        <v/>
      </c>
      <c r="F39" t="str">
        <f>IF('Sample Information'!G79="","",'Sample Information'!G79)</f>
        <v/>
      </c>
      <c r="G39" t="str">
        <f>IF('Sample Information'!H79="","",'Sample Information'!H79)</f>
        <v/>
      </c>
      <c r="I39" t="str">
        <f>IF('Sample Information'!J79="","",'Sample Information'!J79)</f>
        <v/>
      </c>
      <c r="K39" t="str">
        <f>IF('Sample Information'!L79="","",'Sample Information'!L79)</f>
        <v/>
      </c>
      <c r="L39" s="163">
        <f t="shared" si="0"/>
        <v>0</v>
      </c>
      <c r="M39" s="163">
        <f t="shared" si="1"/>
        <v>0</v>
      </c>
      <c r="N39" s="163">
        <f t="shared" si="2"/>
        <v>0</v>
      </c>
      <c r="O39" t="str">
        <f>SUBSTITUTE(StripChar(B39),"-","")</f>
        <v/>
      </c>
      <c r="P39" s="163">
        <f t="shared" si="3"/>
        <v>0</v>
      </c>
      <c r="Q39" s="163">
        <f t="shared" si="4"/>
        <v>0</v>
      </c>
      <c r="R39" t="str">
        <f t="shared" si="5"/>
        <v/>
      </c>
    </row>
    <row r="40" spans="1:18" x14ac:dyDescent="0.2">
      <c r="A40" t="str">
        <f>IF('Sample Information'!$A80="","",IF('Sample Information'!$L$9="","INIT",'Sample Information'!$L$9)&amp;ROW(A40)-2)</f>
        <v/>
      </c>
      <c r="B40" t="str">
        <f>IF('Sample Information'!C80="","",'Sample Information'!C80)</f>
        <v/>
      </c>
      <c r="D40" t="str">
        <f>IF('Sample Information'!E80="","",'Sample Information'!E80)</f>
        <v/>
      </c>
      <c r="E40" t="str">
        <f>IF('Sample Information'!F80="","",'Sample Information'!F80)</f>
        <v/>
      </c>
      <c r="F40" t="str">
        <f>IF('Sample Information'!G80="","",'Sample Information'!G80)</f>
        <v/>
      </c>
      <c r="G40" t="str">
        <f>IF('Sample Information'!H80="","",'Sample Information'!H80)</f>
        <v/>
      </c>
      <c r="I40" t="str">
        <f>IF('Sample Information'!J80="","",'Sample Information'!J80)</f>
        <v/>
      </c>
      <c r="K40" t="str">
        <f>IF('Sample Information'!L80="","",'Sample Information'!L80)</f>
        <v/>
      </c>
      <c r="L40" s="163">
        <f t="shared" si="0"/>
        <v>0</v>
      </c>
      <c r="M40" s="163">
        <f t="shared" si="1"/>
        <v>0</v>
      </c>
      <c r="N40" s="163">
        <f t="shared" si="2"/>
        <v>0</v>
      </c>
      <c r="O40" t="str">
        <f>SUBSTITUTE(StripChar(B40),"-","")</f>
        <v/>
      </c>
      <c r="P40" s="163">
        <f t="shared" si="3"/>
        <v>0</v>
      </c>
      <c r="Q40" s="163">
        <f t="shared" si="4"/>
        <v>0</v>
      </c>
      <c r="R40" t="str">
        <f t="shared" si="5"/>
        <v/>
      </c>
    </row>
    <row r="41" spans="1:18" x14ac:dyDescent="0.2">
      <c r="A41" t="str">
        <f>IF('Sample Information'!$A81="","",IF('Sample Information'!$L$9="","INIT",'Sample Information'!$L$9)&amp;ROW(A41)-2)</f>
        <v/>
      </c>
      <c r="B41" t="str">
        <f>IF('Sample Information'!C81="","",'Sample Information'!C81)</f>
        <v/>
      </c>
      <c r="D41" t="str">
        <f>IF('Sample Information'!E81="","",'Sample Information'!E81)</f>
        <v/>
      </c>
      <c r="E41" t="str">
        <f>IF('Sample Information'!F81="","",'Sample Information'!F81)</f>
        <v/>
      </c>
      <c r="F41" t="str">
        <f>IF('Sample Information'!G81="","",'Sample Information'!G81)</f>
        <v/>
      </c>
      <c r="G41" t="str">
        <f>IF('Sample Information'!H81="","",'Sample Information'!H81)</f>
        <v/>
      </c>
      <c r="I41" t="str">
        <f>IF('Sample Information'!J81="","",'Sample Information'!J81)</f>
        <v/>
      </c>
      <c r="K41" t="str">
        <f>IF('Sample Information'!L81="","",'Sample Information'!L81)</f>
        <v/>
      </c>
      <c r="L41" s="163">
        <f t="shared" si="0"/>
        <v>0</v>
      </c>
      <c r="M41" s="163">
        <f t="shared" si="1"/>
        <v>0</v>
      </c>
      <c r="N41" s="163">
        <f t="shared" si="2"/>
        <v>0</v>
      </c>
      <c r="O41" t="str">
        <f>SUBSTITUTE(StripChar(B41),"-","")</f>
        <v/>
      </c>
      <c r="P41" s="163">
        <f t="shared" si="3"/>
        <v>0</v>
      </c>
      <c r="Q41" s="163">
        <f t="shared" si="4"/>
        <v>0</v>
      </c>
      <c r="R41" t="str">
        <f t="shared" si="5"/>
        <v/>
      </c>
    </row>
    <row r="42" spans="1:18" x14ac:dyDescent="0.2">
      <c r="A42" t="str">
        <f>IF('Sample Information'!$A82="","",IF('Sample Information'!$L$9="","INIT",'Sample Information'!$L$9)&amp;ROW(A42)-2)</f>
        <v/>
      </c>
      <c r="B42" t="str">
        <f>IF('Sample Information'!C82="","",'Sample Information'!C82)</f>
        <v/>
      </c>
      <c r="D42" t="str">
        <f>IF('Sample Information'!E82="","",'Sample Information'!E82)</f>
        <v/>
      </c>
      <c r="E42" t="str">
        <f>IF('Sample Information'!F82="","",'Sample Information'!F82)</f>
        <v/>
      </c>
      <c r="F42" t="str">
        <f>IF('Sample Information'!G82="","",'Sample Information'!G82)</f>
        <v/>
      </c>
      <c r="G42" t="str">
        <f>IF('Sample Information'!H82="","",'Sample Information'!H82)</f>
        <v/>
      </c>
      <c r="I42" t="str">
        <f>IF('Sample Information'!J82="","",'Sample Information'!J82)</f>
        <v/>
      </c>
      <c r="K42" t="str">
        <f>IF('Sample Information'!L82="","",'Sample Information'!L82)</f>
        <v/>
      </c>
      <c r="L42" s="163">
        <f t="shared" si="0"/>
        <v>0</v>
      </c>
      <c r="M42" s="163">
        <f t="shared" si="1"/>
        <v>0</v>
      </c>
      <c r="N42" s="163">
        <f t="shared" si="2"/>
        <v>0</v>
      </c>
      <c r="O42" t="str">
        <f>SUBSTITUTE(StripChar(B42),"-","")</f>
        <v/>
      </c>
      <c r="P42" s="163">
        <f t="shared" si="3"/>
        <v>0</v>
      </c>
      <c r="Q42" s="163">
        <f t="shared" si="4"/>
        <v>0</v>
      </c>
      <c r="R42" t="str">
        <f t="shared" si="5"/>
        <v/>
      </c>
    </row>
    <row r="43" spans="1:18" x14ac:dyDescent="0.2">
      <c r="A43" t="str">
        <f>IF('Sample Information'!$A83="","",IF('Sample Information'!$L$9="","INIT",'Sample Information'!$L$9)&amp;ROW(A43)-2)</f>
        <v/>
      </c>
      <c r="B43" t="str">
        <f>IF('Sample Information'!C83="","",'Sample Information'!C83)</f>
        <v/>
      </c>
      <c r="D43" t="str">
        <f>IF('Sample Information'!E83="","",'Sample Information'!E83)</f>
        <v/>
      </c>
      <c r="E43" t="str">
        <f>IF('Sample Information'!F83="","",'Sample Information'!F83)</f>
        <v/>
      </c>
      <c r="F43" t="str">
        <f>IF('Sample Information'!G83="","",'Sample Information'!G83)</f>
        <v/>
      </c>
      <c r="G43" t="str">
        <f>IF('Sample Information'!H83="","",'Sample Information'!H83)</f>
        <v/>
      </c>
      <c r="I43" t="str">
        <f>IF('Sample Information'!J83="","",'Sample Information'!J83)</f>
        <v/>
      </c>
      <c r="K43" t="str">
        <f>IF('Sample Information'!L83="","",'Sample Information'!L83)</f>
        <v/>
      </c>
      <c r="L43" s="163">
        <f t="shared" si="0"/>
        <v>0</v>
      </c>
      <c r="M43" s="163">
        <f t="shared" si="1"/>
        <v>0</v>
      </c>
      <c r="N43" s="163">
        <f t="shared" si="2"/>
        <v>0</v>
      </c>
      <c r="O43" t="str">
        <f>SUBSTITUTE(StripChar(B43),"-","")</f>
        <v/>
      </c>
      <c r="P43" s="163">
        <f t="shared" si="3"/>
        <v>0</v>
      </c>
      <c r="Q43" s="163">
        <f t="shared" si="4"/>
        <v>0</v>
      </c>
      <c r="R43" t="str">
        <f t="shared" si="5"/>
        <v/>
      </c>
    </row>
    <row r="44" spans="1:18" x14ac:dyDescent="0.2">
      <c r="A44" t="str">
        <f>IF('Sample Information'!$A84="","",IF('Sample Information'!$L$9="","INIT",'Sample Information'!$L$9)&amp;ROW(A44)-2)</f>
        <v/>
      </c>
      <c r="B44" t="str">
        <f>IF('Sample Information'!C84="","",'Sample Information'!C84)</f>
        <v/>
      </c>
      <c r="D44" t="str">
        <f>IF('Sample Information'!E84="","",'Sample Information'!E84)</f>
        <v/>
      </c>
      <c r="E44" t="str">
        <f>IF('Sample Information'!F84="","",'Sample Information'!F84)</f>
        <v/>
      </c>
      <c r="F44" t="str">
        <f>IF('Sample Information'!G84="","",'Sample Information'!G84)</f>
        <v/>
      </c>
      <c r="G44" t="str">
        <f>IF('Sample Information'!H84="","",'Sample Information'!H84)</f>
        <v/>
      </c>
      <c r="I44" t="str">
        <f>IF('Sample Information'!J84="","",'Sample Information'!J84)</f>
        <v/>
      </c>
      <c r="K44" t="str">
        <f>IF('Sample Information'!L84="","",'Sample Information'!L84)</f>
        <v/>
      </c>
      <c r="L44" s="163">
        <f t="shared" si="0"/>
        <v>0</v>
      </c>
      <c r="M44" s="163">
        <f t="shared" si="1"/>
        <v>0</v>
      </c>
      <c r="N44" s="163">
        <f t="shared" si="2"/>
        <v>0</v>
      </c>
      <c r="O44" t="str">
        <f>SUBSTITUTE(StripChar(B44),"-","")</f>
        <v/>
      </c>
      <c r="P44" s="163">
        <f t="shared" si="3"/>
        <v>0</v>
      </c>
      <c r="Q44" s="163">
        <f t="shared" si="4"/>
        <v>0</v>
      </c>
      <c r="R44" t="str">
        <f t="shared" si="5"/>
        <v/>
      </c>
    </row>
    <row r="45" spans="1:18" x14ac:dyDescent="0.2">
      <c r="A45" t="str">
        <f>IF('Sample Information'!$A85="","",IF('Sample Information'!$L$9="","INIT",'Sample Information'!$L$9)&amp;ROW(A45)-2)</f>
        <v/>
      </c>
      <c r="B45" t="str">
        <f>IF('Sample Information'!C85="","",'Sample Information'!C85)</f>
        <v/>
      </c>
      <c r="D45" t="str">
        <f>IF('Sample Information'!E85="","",'Sample Information'!E85)</f>
        <v/>
      </c>
      <c r="E45" t="str">
        <f>IF('Sample Information'!F85="","",'Sample Information'!F85)</f>
        <v/>
      </c>
      <c r="F45" t="str">
        <f>IF('Sample Information'!G85="","",'Sample Information'!G85)</f>
        <v/>
      </c>
      <c r="G45" t="str">
        <f>IF('Sample Information'!H85="","",'Sample Information'!H85)</f>
        <v/>
      </c>
      <c r="I45" t="str">
        <f>IF('Sample Information'!J85="","",'Sample Information'!J85)</f>
        <v/>
      </c>
      <c r="K45" t="str">
        <f>IF('Sample Information'!L85="","",'Sample Information'!L85)</f>
        <v/>
      </c>
      <c r="L45" s="163">
        <f t="shared" si="0"/>
        <v>0</v>
      </c>
      <c r="M45" s="163">
        <f t="shared" si="1"/>
        <v>0</v>
      </c>
      <c r="N45" s="163">
        <f t="shared" si="2"/>
        <v>0</v>
      </c>
      <c r="O45" t="str">
        <f>SUBSTITUTE(StripChar(B45),"-","")</f>
        <v/>
      </c>
      <c r="P45" s="163">
        <f t="shared" si="3"/>
        <v>0</v>
      </c>
      <c r="Q45" s="163">
        <f t="shared" si="4"/>
        <v>0</v>
      </c>
      <c r="R45" t="str">
        <f t="shared" si="5"/>
        <v/>
      </c>
    </row>
    <row r="46" spans="1:18" x14ac:dyDescent="0.2">
      <c r="A46" t="str">
        <f>IF('Sample Information'!$A86="","",IF('Sample Information'!$L$9="","INIT",'Sample Information'!$L$9)&amp;ROW(A46)-2)</f>
        <v/>
      </c>
      <c r="B46" t="str">
        <f>IF('Sample Information'!C86="","",'Sample Information'!C86)</f>
        <v/>
      </c>
      <c r="D46" t="str">
        <f>IF('Sample Information'!E86="","",'Sample Information'!E86)</f>
        <v/>
      </c>
      <c r="E46" t="str">
        <f>IF('Sample Information'!F86="","",'Sample Information'!F86)</f>
        <v/>
      </c>
      <c r="F46" t="str">
        <f>IF('Sample Information'!G86="","",'Sample Information'!G86)</f>
        <v/>
      </c>
      <c r="G46" t="str">
        <f>IF('Sample Information'!H86="","",'Sample Information'!H86)</f>
        <v/>
      </c>
      <c r="I46" t="str">
        <f>IF('Sample Information'!J86="","",'Sample Information'!J86)</f>
        <v/>
      </c>
      <c r="K46" t="str">
        <f>IF('Sample Information'!L86="","",'Sample Information'!L86)</f>
        <v/>
      </c>
      <c r="L46" s="163">
        <f t="shared" si="0"/>
        <v>0</v>
      </c>
      <c r="M46" s="163">
        <f t="shared" si="1"/>
        <v>0</v>
      </c>
      <c r="N46" s="163">
        <f t="shared" si="2"/>
        <v>0</v>
      </c>
      <c r="O46" t="str">
        <f>SUBSTITUTE(StripChar(B46),"-","")</f>
        <v/>
      </c>
      <c r="P46" s="163">
        <f t="shared" si="3"/>
        <v>0</v>
      </c>
      <c r="Q46" s="163">
        <f t="shared" si="4"/>
        <v>0</v>
      </c>
      <c r="R46" t="str">
        <f t="shared" si="5"/>
        <v/>
      </c>
    </row>
    <row r="47" spans="1:18" x14ac:dyDescent="0.2">
      <c r="A47" t="str">
        <f>IF('Sample Information'!$A87="","",IF('Sample Information'!$L$9="","INIT",'Sample Information'!$L$9)&amp;ROW(A47)-2)</f>
        <v/>
      </c>
      <c r="B47" t="str">
        <f>IF('Sample Information'!C87="","",'Sample Information'!C87)</f>
        <v/>
      </c>
      <c r="D47" t="str">
        <f>IF('Sample Information'!E87="","",'Sample Information'!E87)</f>
        <v/>
      </c>
      <c r="E47" t="str">
        <f>IF('Sample Information'!F87="","",'Sample Information'!F87)</f>
        <v/>
      </c>
      <c r="F47" t="str">
        <f>IF('Sample Information'!G87="","",'Sample Information'!G87)</f>
        <v/>
      </c>
      <c r="G47" t="str">
        <f>IF('Sample Information'!H87="","",'Sample Information'!H87)</f>
        <v/>
      </c>
      <c r="I47" t="str">
        <f>IF('Sample Information'!J87="","",'Sample Information'!J87)</f>
        <v/>
      </c>
      <c r="K47" t="str">
        <f>IF('Sample Information'!L87="","",'Sample Information'!L87)</f>
        <v/>
      </c>
      <c r="L47" s="163">
        <f t="shared" si="0"/>
        <v>0</v>
      </c>
      <c r="M47" s="163">
        <f t="shared" si="1"/>
        <v>0</v>
      </c>
      <c r="N47" s="163">
        <f t="shared" si="2"/>
        <v>0</v>
      </c>
      <c r="O47" t="str">
        <f>SUBSTITUTE(StripChar(B47),"-","")</f>
        <v/>
      </c>
      <c r="P47" s="163">
        <f t="shared" si="3"/>
        <v>0</v>
      </c>
      <c r="Q47" s="163">
        <f t="shared" si="4"/>
        <v>0</v>
      </c>
      <c r="R47" t="str">
        <f t="shared" si="5"/>
        <v/>
      </c>
    </row>
    <row r="48" spans="1:18" x14ac:dyDescent="0.2">
      <c r="A48" t="str">
        <f>IF('Sample Information'!$A88="","",IF('Sample Information'!$L$9="","INIT",'Sample Information'!$L$9)&amp;ROW(A48)-2)</f>
        <v/>
      </c>
      <c r="B48" t="str">
        <f>IF('Sample Information'!C88="","",'Sample Information'!C88)</f>
        <v/>
      </c>
      <c r="D48" t="str">
        <f>IF('Sample Information'!E88="","",'Sample Information'!E88)</f>
        <v/>
      </c>
      <c r="E48" t="str">
        <f>IF('Sample Information'!F88="","",'Sample Information'!F88)</f>
        <v/>
      </c>
      <c r="F48" t="str">
        <f>IF('Sample Information'!G88="","",'Sample Information'!G88)</f>
        <v/>
      </c>
      <c r="G48" t="str">
        <f>IF('Sample Information'!H88="","",'Sample Information'!H88)</f>
        <v/>
      </c>
      <c r="I48" t="str">
        <f>IF('Sample Information'!J88="","",'Sample Information'!J88)</f>
        <v/>
      </c>
      <c r="K48" t="str">
        <f>IF('Sample Information'!L88="","",'Sample Information'!L88)</f>
        <v/>
      </c>
      <c r="L48" s="163">
        <f t="shared" si="0"/>
        <v>0</v>
      </c>
      <c r="M48" s="163">
        <f t="shared" si="1"/>
        <v>0</v>
      </c>
      <c r="N48" s="163">
        <f t="shared" si="2"/>
        <v>0</v>
      </c>
      <c r="O48" t="str">
        <f>SUBSTITUTE(StripChar(B48),"-","")</f>
        <v/>
      </c>
      <c r="P48" s="163">
        <f t="shared" si="3"/>
        <v>0</v>
      </c>
      <c r="Q48" s="163">
        <f t="shared" si="4"/>
        <v>0</v>
      </c>
      <c r="R48" t="str">
        <f t="shared" si="5"/>
        <v/>
      </c>
    </row>
    <row r="49" spans="1:18" x14ac:dyDescent="0.2">
      <c r="A49" t="str">
        <f>IF('Sample Information'!$A89="","",IF('Sample Information'!$L$9="","INIT",'Sample Information'!$L$9)&amp;ROW(A49)-2)</f>
        <v/>
      </c>
      <c r="B49" t="str">
        <f>IF('Sample Information'!C89="","",'Sample Information'!C89)</f>
        <v/>
      </c>
      <c r="D49" t="str">
        <f>IF('Sample Information'!E89="","",'Sample Information'!E89)</f>
        <v/>
      </c>
      <c r="E49" t="str">
        <f>IF('Sample Information'!F89="","",'Sample Information'!F89)</f>
        <v/>
      </c>
      <c r="F49" t="str">
        <f>IF('Sample Information'!G89="","",'Sample Information'!G89)</f>
        <v/>
      </c>
      <c r="G49" t="str">
        <f>IF('Sample Information'!H89="","",'Sample Information'!H89)</f>
        <v/>
      </c>
      <c r="I49" t="str">
        <f>IF('Sample Information'!J89="","",'Sample Information'!J89)</f>
        <v/>
      </c>
      <c r="K49" t="str">
        <f>IF('Sample Information'!L89="","",'Sample Information'!L89)</f>
        <v/>
      </c>
      <c r="L49" s="163">
        <f t="shared" si="0"/>
        <v>0</v>
      </c>
      <c r="M49" s="163">
        <f t="shared" si="1"/>
        <v>0</v>
      </c>
      <c r="N49" s="163">
        <f t="shared" si="2"/>
        <v>0</v>
      </c>
      <c r="O49" t="str">
        <f>SUBSTITUTE(StripChar(B49),"-","")</f>
        <v/>
      </c>
      <c r="P49" s="163">
        <f t="shared" si="3"/>
        <v>0</v>
      </c>
      <c r="Q49" s="163">
        <f t="shared" si="4"/>
        <v>0</v>
      </c>
      <c r="R49" t="str">
        <f t="shared" si="5"/>
        <v/>
      </c>
    </row>
    <row r="50" spans="1:18" x14ac:dyDescent="0.2">
      <c r="A50" t="str">
        <f>IF('Sample Information'!$A90="","",IF('Sample Information'!$L$9="","INIT",'Sample Information'!$L$9)&amp;ROW(A50)-2)</f>
        <v/>
      </c>
      <c r="B50" t="str">
        <f>IF('Sample Information'!C90="","",'Sample Information'!C90)</f>
        <v/>
      </c>
      <c r="D50" t="str">
        <f>IF('Sample Information'!E90="","",'Sample Information'!E90)</f>
        <v/>
      </c>
      <c r="E50" t="str">
        <f>IF('Sample Information'!F90="","",'Sample Information'!F90)</f>
        <v/>
      </c>
      <c r="F50" t="str">
        <f>IF('Sample Information'!G90="","",'Sample Information'!G90)</f>
        <v/>
      </c>
      <c r="G50" t="str">
        <f>IF('Sample Information'!H90="","",'Sample Information'!H90)</f>
        <v/>
      </c>
      <c r="I50" t="str">
        <f>IF('Sample Information'!J90="","",'Sample Information'!J90)</f>
        <v/>
      </c>
      <c r="K50" t="str">
        <f>IF('Sample Information'!L90="","",'Sample Information'!L90)</f>
        <v/>
      </c>
      <c r="L50" s="163">
        <f t="shared" si="0"/>
        <v>0</v>
      </c>
      <c r="M50" s="163">
        <f t="shared" si="1"/>
        <v>0</v>
      </c>
      <c r="N50" s="163">
        <f t="shared" si="2"/>
        <v>0</v>
      </c>
      <c r="O50" t="str">
        <f>SUBSTITUTE(StripChar(B50),"-","")</f>
        <v/>
      </c>
      <c r="P50" s="163">
        <f t="shared" si="3"/>
        <v>0</v>
      </c>
      <c r="Q50" s="163">
        <f t="shared" si="4"/>
        <v>0</v>
      </c>
      <c r="R50" t="str">
        <f t="shared" si="5"/>
        <v/>
      </c>
    </row>
    <row r="51" spans="1:18" x14ac:dyDescent="0.2">
      <c r="A51" t="str">
        <f>IF('Sample Information'!$A91="","",IF('Sample Information'!$L$9="","INIT",'Sample Information'!$L$9)&amp;ROW(A51)-2)</f>
        <v/>
      </c>
      <c r="B51" t="str">
        <f>IF('Sample Information'!C91="","",'Sample Information'!C91)</f>
        <v/>
      </c>
      <c r="D51" t="str">
        <f>IF('Sample Information'!E91="","",'Sample Information'!E91)</f>
        <v/>
      </c>
      <c r="E51" t="str">
        <f>IF('Sample Information'!F91="","",'Sample Information'!F91)</f>
        <v/>
      </c>
      <c r="F51" t="str">
        <f>IF('Sample Information'!G91="","",'Sample Information'!G91)</f>
        <v/>
      </c>
      <c r="G51" t="str">
        <f>IF('Sample Information'!H91="","",'Sample Information'!H91)</f>
        <v/>
      </c>
      <c r="I51" t="str">
        <f>IF('Sample Information'!J91="","",'Sample Information'!J91)</f>
        <v/>
      </c>
      <c r="K51" t="str">
        <f>IF('Sample Information'!L91="","",'Sample Information'!L91)</f>
        <v/>
      </c>
      <c r="L51" s="163">
        <f t="shared" si="0"/>
        <v>0</v>
      </c>
      <c r="M51" s="163">
        <f t="shared" si="1"/>
        <v>0</v>
      </c>
      <c r="N51" s="163">
        <f t="shared" si="2"/>
        <v>0</v>
      </c>
      <c r="O51" t="str">
        <f>SUBSTITUTE(StripChar(B51),"-","")</f>
        <v/>
      </c>
      <c r="P51" s="163">
        <f t="shared" si="3"/>
        <v>0</v>
      </c>
      <c r="Q51" s="163">
        <f t="shared" si="4"/>
        <v>0</v>
      </c>
      <c r="R51" t="str">
        <f t="shared" si="5"/>
        <v/>
      </c>
    </row>
    <row r="52" spans="1:18" x14ac:dyDescent="0.2">
      <c r="A52" t="str">
        <f>IF('Sample Information'!$A92="","",IF('Sample Information'!$L$9="","INIT",'Sample Information'!$L$9)&amp;ROW(A52)-2)</f>
        <v/>
      </c>
      <c r="B52" t="str">
        <f>IF('Sample Information'!C92="","",'Sample Information'!C92)</f>
        <v/>
      </c>
      <c r="D52" t="str">
        <f>IF('Sample Information'!E92="","",'Sample Information'!E92)</f>
        <v/>
      </c>
      <c r="E52" t="str">
        <f>IF('Sample Information'!F92="","",'Sample Information'!F92)</f>
        <v/>
      </c>
      <c r="F52" t="str">
        <f>IF('Sample Information'!G92="","",'Sample Information'!G92)</f>
        <v/>
      </c>
      <c r="G52" t="str">
        <f>IF('Sample Information'!H92="","",'Sample Information'!H92)</f>
        <v/>
      </c>
      <c r="I52" t="str">
        <f>IF('Sample Information'!J92="","",'Sample Information'!J92)</f>
        <v/>
      </c>
      <c r="K52" t="str">
        <f>IF('Sample Information'!L92="","",'Sample Information'!L92)</f>
        <v/>
      </c>
      <c r="L52" s="163">
        <f t="shared" si="0"/>
        <v>0</v>
      </c>
      <c r="M52" s="163">
        <f t="shared" si="1"/>
        <v>0</v>
      </c>
      <c r="N52" s="163">
        <f t="shared" si="2"/>
        <v>0</v>
      </c>
      <c r="O52" t="str">
        <f>SUBSTITUTE(StripChar(B52),"-","")</f>
        <v/>
      </c>
      <c r="P52" s="163">
        <f t="shared" si="3"/>
        <v>0</v>
      </c>
      <c r="Q52" s="163">
        <f t="shared" si="4"/>
        <v>0</v>
      </c>
      <c r="R52" t="str">
        <f t="shared" si="5"/>
        <v/>
      </c>
    </row>
    <row r="53" spans="1:18" x14ac:dyDescent="0.2">
      <c r="A53" t="str">
        <f>IF('Sample Information'!$A93="","",IF('Sample Information'!$L$9="","INIT",'Sample Information'!$L$9)&amp;ROW(A53)-2)</f>
        <v/>
      </c>
      <c r="B53" t="str">
        <f>IF('Sample Information'!C93="","",'Sample Information'!C93)</f>
        <v/>
      </c>
      <c r="D53" t="str">
        <f>IF('Sample Information'!E93="","",'Sample Information'!E93)</f>
        <v/>
      </c>
      <c r="E53" t="str">
        <f>IF('Sample Information'!F93="","",'Sample Information'!F93)</f>
        <v/>
      </c>
      <c r="F53" t="str">
        <f>IF('Sample Information'!G93="","",'Sample Information'!G93)</f>
        <v/>
      </c>
      <c r="G53" t="str">
        <f>IF('Sample Information'!H93="","",'Sample Information'!H93)</f>
        <v/>
      </c>
      <c r="I53" t="str">
        <f>IF('Sample Information'!J93="","",'Sample Information'!J93)</f>
        <v/>
      </c>
      <c r="K53" t="str">
        <f>IF('Sample Information'!L93="","",'Sample Information'!L93)</f>
        <v/>
      </c>
      <c r="L53" s="163">
        <f t="shared" si="0"/>
        <v>0</v>
      </c>
      <c r="M53" s="163">
        <f t="shared" si="1"/>
        <v>0</v>
      </c>
      <c r="N53" s="163">
        <f t="shared" si="2"/>
        <v>0</v>
      </c>
      <c r="O53" t="str">
        <f>SUBSTITUTE(StripChar(B53),"-","")</f>
        <v/>
      </c>
      <c r="P53" s="163">
        <f t="shared" si="3"/>
        <v>0</v>
      </c>
      <c r="Q53" s="163">
        <f t="shared" si="4"/>
        <v>0</v>
      </c>
      <c r="R53" t="str">
        <f t="shared" si="5"/>
        <v/>
      </c>
    </row>
    <row r="54" spans="1:18" x14ac:dyDescent="0.2">
      <c r="A54" t="str">
        <f>IF('Sample Information'!$A94="","",IF('Sample Information'!$L$9="","INIT",'Sample Information'!$L$9)&amp;ROW(A54)-2)</f>
        <v/>
      </c>
      <c r="B54" t="str">
        <f>IF('Sample Information'!C94="","",'Sample Information'!C94)</f>
        <v/>
      </c>
      <c r="D54" t="str">
        <f>IF('Sample Information'!E94="","",'Sample Information'!E94)</f>
        <v/>
      </c>
      <c r="E54" t="str">
        <f>IF('Sample Information'!F94="","",'Sample Information'!F94)</f>
        <v/>
      </c>
      <c r="F54" t="str">
        <f>IF('Sample Information'!G94="","",'Sample Information'!G94)</f>
        <v/>
      </c>
      <c r="G54" t="str">
        <f>IF('Sample Information'!H94="","",'Sample Information'!H94)</f>
        <v/>
      </c>
      <c r="I54" t="str">
        <f>IF('Sample Information'!J94="","",'Sample Information'!J94)</f>
        <v/>
      </c>
      <c r="K54" t="str">
        <f>IF('Sample Information'!L94="","",'Sample Information'!L94)</f>
        <v/>
      </c>
      <c r="L54" s="163">
        <f t="shared" si="0"/>
        <v>0</v>
      </c>
      <c r="M54" s="163">
        <f t="shared" si="1"/>
        <v>0</v>
      </c>
      <c r="N54" s="163">
        <f t="shared" si="2"/>
        <v>0</v>
      </c>
      <c r="O54" t="str">
        <f>SUBSTITUTE(StripChar(B54),"-","")</f>
        <v/>
      </c>
      <c r="P54" s="163">
        <f t="shared" si="3"/>
        <v>0</v>
      </c>
      <c r="Q54" s="163">
        <f t="shared" si="4"/>
        <v>0</v>
      </c>
      <c r="R54" t="str">
        <f t="shared" si="5"/>
        <v/>
      </c>
    </row>
    <row r="55" spans="1:18" x14ac:dyDescent="0.2">
      <c r="A55" t="str">
        <f>IF('Sample Information'!$A95="","",IF('Sample Information'!$L$9="","INIT",'Sample Information'!$L$9)&amp;ROW(A55)-2)</f>
        <v/>
      </c>
      <c r="B55" t="str">
        <f>IF('Sample Information'!C95="","",'Sample Information'!C95)</f>
        <v/>
      </c>
      <c r="D55" t="str">
        <f>IF('Sample Information'!E95="","",'Sample Information'!E95)</f>
        <v/>
      </c>
      <c r="E55" t="str">
        <f>IF('Sample Information'!F95="","",'Sample Information'!F95)</f>
        <v/>
      </c>
      <c r="F55" t="str">
        <f>IF('Sample Information'!G95="","",'Sample Information'!G95)</f>
        <v/>
      </c>
      <c r="G55" t="str">
        <f>IF('Sample Information'!H95="","",'Sample Information'!H95)</f>
        <v/>
      </c>
      <c r="I55" t="str">
        <f>IF('Sample Information'!J95="","",'Sample Information'!J95)</f>
        <v/>
      </c>
      <c r="K55" t="str">
        <f>IF('Sample Information'!L95="","",'Sample Information'!L95)</f>
        <v/>
      </c>
      <c r="L55" s="163">
        <f t="shared" si="0"/>
        <v>0</v>
      </c>
      <c r="M55" s="163">
        <f t="shared" si="1"/>
        <v>0</v>
      </c>
      <c r="N55" s="163">
        <f t="shared" si="2"/>
        <v>0</v>
      </c>
      <c r="O55" t="str">
        <f>SUBSTITUTE(StripChar(B55),"-","")</f>
        <v/>
      </c>
      <c r="P55" s="163">
        <f t="shared" si="3"/>
        <v>0</v>
      </c>
      <c r="Q55" s="163">
        <f t="shared" si="4"/>
        <v>0</v>
      </c>
      <c r="R55" t="str">
        <f t="shared" si="5"/>
        <v/>
      </c>
    </row>
    <row r="56" spans="1:18" x14ac:dyDescent="0.2">
      <c r="A56" t="str">
        <f>IF('Sample Information'!$A96="","",IF('Sample Information'!$L$9="","INIT",'Sample Information'!$L$9)&amp;ROW(A56)-2)</f>
        <v/>
      </c>
      <c r="B56" t="str">
        <f>IF('Sample Information'!C96="","",'Sample Information'!C96)</f>
        <v/>
      </c>
      <c r="D56" t="str">
        <f>IF('Sample Information'!E96="","",'Sample Information'!E96)</f>
        <v/>
      </c>
      <c r="E56" t="str">
        <f>IF('Sample Information'!F96="","",'Sample Information'!F96)</f>
        <v/>
      </c>
      <c r="F56" t="str">
        <f>IF('Sample Information'!G96="","",'Sample Information'!G96)</f>
        <v/>
      </c>
      <c r="G56" t="str">
        <f>IF('Sample Information'!H96="","",'Sample Information'!H96)</f>
        <v/>
      </c>
      <c r="I56" t="str">
        <f>IF('Sample Information'!J96="","",'Sample Information'!J96)</f>
        <v/>
      </c>
      <c r="K56" t="str">
        <f>IF('Sample Information'!L96="","",'Sample Information'!L96)</f>
        <v/>
      </c>
      <c r="L56" s="163">
        <f t="shared" si="0"/>
        <v>0</v>
      </c>
      <c r="M56" s="163">
        <f t="shared" si="1"/>
        <v>0</v>
      </c>
      <c r="N56" s="163">
        <f t="shared" si="2"/>
        <v>0</v>
      </c>
      <c r="O56" t="str">
        <f>SUBSTITUTE(StripChar(B56),"-","")</f>
        <v/>
      </c>
      <c r="P56" s="163">
        <f t="shared" si="3"/>
        <v>0</v>
      </c>
      <c r="Q56" s="163">
        <f t="shared" si="4"/>
        <v>0</v>
      </c>
      <c r="R56" t="str">
        <f t="shared" si="5"/>
        <v/>
      </c>
    </row>
    <row r="57" spans="1:18" x14ac:dyDescent="0.2">
      <c r="A57" t="str">
        <f>IF('Sample Information'!$A97="","",IF('Sample Information'!$L$9="","INIT",'Sample Information'!$L$9)&amp;ROW(A57)-2)</f>
        <v/>
      </c>
      <c r="B57" t="str">
        <f>IF('Sample Information'!C97="","",'Sample Information'!C97)</f>
        <v/>
      </c>
      <c r="D57" t="str">
        <f>IF('Sample Information'!E97="","",'Sample Information'!E97)</f>
        <v/>
      </c>
      <c r="E57" t="str">
        <f>IF('Sample Information'!F97="","",'Sample Information'!F97)</f>
        <v/>
      </c>
      <c r="F57" t="str">
        <f>IF('Sample Information'!G97="","",'Sample Information'!G97)</f>
        <v/>
      </c>
      <c r="G57" t="str">
        <f>IF('Sample Information'!H97="","",'Sample Information'!H97)</f>
        <v/>
      </c>
      <c r="I57" t="str">
        <f>IF('Sample Information'!J97="","",'Sample Information'!J97)</f>
        <v/>
      </c>
      <c r="K57" t="str">
        <f>IF('Sample Information'!L97="","",'Sample Information'!L97)</f>
        <v/>
      </c>
      <c r="L57" s="163">
        <f t="shared" si="0"/>
        <v>0</v>
      </c>
      <c r="M57" s="163">
        <f t="shared" si="1"/>
        <v>0</v>
      </c>
      <c r="N57" s="163">
        <f t="shared" si="2"/>
        <v>0</v>
      </c>
      <c r="O57" t="str">
        <f>SUBSTITUTE(StripChar(B57),"-","")</f>
        <v/>
      </c>
      <c r="P57" s="163">
        <f t="shared" si="3"/>
        <v>0</v>
      </c>
      <c r="Q57" s="163">
        <f t="shared" si="4"/>
        <v>0</v>
      </c>
      <c r="R57" t="str">
        <f t="shared" si="5"/>
        <v/>
      </c>
    </row>
    <row r="58" spans="1:18" x14ac:dyDescent="0.2">
      <c r="A58" t="str">
        <f>IF('Sample Information'!$A98="","",IF('Sample Information'!$L$9="","INIT",'Sample Information'!$L$9)&amp;ROW(A58)-2)</f>
        <v/>
      </c>
      <c r="B58" t="str">
        <f>IF('Sample Information'!C98="","",'Sample Information'!C98)</f>
        <v/>
      </c>
      <c r="D58" t="str">
        <f>IF('Sample Information'!E98="","",'Sample Information'!E98)</f>
        <v/>
      </c>
      <c r="E58" t="str">
        <f>IF('Sample Information'!F98="","",'Sample Information'!F98)</f>
        <v/>
      </c>
      <c r="F58" t="str">
        <f>IF('Sample Information'!G98="","",'Sample Information'!G98)</f>
        <v/>
      </c>
      <c r="G58" t="str">
        <f>IF('Sample Information'!H98="","",'Sample Information'!H98)</f>
        <v/>
      </c>
      <c r="I58" t="str">
        <f>IF('Sample Information'!J98="","",'Sample Information'!J98)</f>
        <v/>
      </c>
      <c r="K58" t="str">
        <f>IF('Sample Information'!L98="","",'Sample Information'!L98)</f>
        <v/>
      </c>
      <c r="L58" s="163">
        <f t="shared" si="0"/>
        <v>0</v>
      </c>
      <c r="M58" s="163">
        <f t="shared" si="1"/>
        <v>0</v>
      </c>
      <c r="N58" s="163">
        <f t="shared" si="2"/>
        <v>0</v>
      </c>
      <c r="O58" t="str">
        <f>SUBSTITUTE(StripChar(B58),"-","")</f>
        <v/>
      </c>
      <c r="P58" s="163">
        <f t="shared" si="3"/>
        <v>0</v>
      </c>
      <c r="Q58" s="163">
        <f t="shared" si="4"/>
        <v>0</v>
      </c>
      <c r="R58" t="str">
        <f t="shared" si="5"/>
        <v/>
      </c>
    </row>
    <row r="59" spans="1:18" x14ac:dyDescent="0.2">
      <c r="A59" t="str">
        <f>IF('Sample Information'!$A99="","",IF('Sample Information'!$L$9="","INIT",'Sample Information'!$L$9)&amp;ROW(A59)-2)</f>
        <v/>
      </c>
      <c r="B59" t="str">
        <f>IF('Sample Information'!C99="","",'Sample Information'!C99)</f>
        <v/>
      </c>
      <c r="D59" t="str">
        <f>IF('Sample Information'!E99="","",'Sample Information'!E99)</f>
        <v/>
      </c>
      <c r="E59" t="str">
        <f>IF('Sample Information'!F99="","",'Sample Information'!F99)</f>
        <v/>
      </c>
      <c r="F59" t="str">
        <f>IF('Sample Information'!G99="","",'Sample Information'!G99)</f>
        <v/>
      </c>
      <c r="G59" t="str">
        <f>IF('Sample Information'!H99="","",'Sample Information'!H99)</f>
        <v/>
      </c>
      <c r="I59" t="str">
        <f>IF('Sample Information'!J99="","",'Sample Information'!J99)</f>
        <v/>
      </c>
      <c r="K59" t="str">
        <f>IF('Sample Information'!L99="","",'Sample Information'!L99)</f>
        <v/>
      </c>
      <c r="L59" s="163">
        <f t="shared" si="0"/>
        <v>0</v>
      </c>
      <c r="M59" s="163">
        <f t="shared" si="1"/>
        <v>0</v>
      </c>
      <c r="N59" s="163">
        <f t="shared" si="2"/>
        <v>0</v>
      </c>
      <c r="O59" t="str">
        <f>SUBSTITUTE(StripChar(B59),"-","")</f>
        <v/>
      </c>
      <c r="P59" s="163">
        <f t="shared" si="3"/>
        <v>0</v>
      </c>
      <c r="Q59" s="163">
        <f t="shared" si="4"/>
        <v>0</v>
      </c>
      <c r="R59" t="str">
        <f t="shared" si="5"/>
        <v/>
      </c>
    </row>
    <row r="60" spans="1:18" x14ac:dyDescent="0.2">
      <c r="A60" t="str">
        <f>IF('Sample Information'!$A100="","",IF('Sample Information'!$L$9="","INIT",'Sample Information'!$L$9)&amp;ROW(A60)-2)</f>
        <v/>
      </c>
      <c r="B60" t="str">
        <f>IF('Sample Information'!C100="","",'Sample Information'!C100)</f>
        <v/>
      </c>
      <c r="D60" t="str">
        <f>IF('Sample Information'!E100="","",'Sample Information'!E100)</f>
        <v/>
      </c>
      <c r="E60" t="str">
        <f>IF('Sample Information'!F100="","",'Sample Information'!F100)</f>
        <v/>
      </c>
      <c r="F60" t="str">
        <f>IF('Sample Information'!G100="","",'Sample Information'!G100)</f>
        <v/>
      </c>
      <c r="G60" t="str">
        <f>IF('Sample Information'!H100="","",'Sample Information'!H100)</f>
        <v/>
      </c>
      <c r="I60" t="str">
        <f>IF('Sample Information'!J100="","",'Sample Information'!J100)</f>
        <v/>
      </c>
      <c r="K60" t="str">
        <f>IF('Sample Information'!L100="","",'Sample Information'!L100)</f>
        <v/>
      </c>
      <c r="L60" s="163">
        <f t="shared" si="0"/>
        <v>0</v>
      </c>
      <c r="M60" s="163">
        <f t="shared" si="1"/>
        <v>0</v>
      </c>
      <c r="N60" s="163">
        <f t="shared" si="2"/>
        <v>0</v>
      </c>
      <c r="O60" t="str">
        <f>SUBSTITUTE(StripChar(B60),"-","")</f>
        <v/>
      </c>
      <c r="P60" s="163">
        <f t="shared" si="3"/>
        <v>0</v>
      </c>
      <c r="Q60" s="163">
        <f t="shared" si="4"/>
        <v>0</v>
      </c>
      <c r="R60" t="str">
        <f t="shared" si="5"/>
        <v/>
      </c>
    </row>
    <row r="61" spans="1:18" x14ac:dyDescent="0.2">
      <c r="A61" t="str">
        <f>IF('Sample Information'!$A101="","",IF('Sample Information'!$L$9="","INIT",'Sample Information'!$L$9)&amp;ROW(A61)-2)</f>
        <v/>
      </c>
      <c r="B61" t="str">
        <f>IF('Sample Information'!C101="","",'Sample Information'!C101)</f>
        <v/>
      </c>
      <c r="D61" t="str">
        <f>IF('Sample Information'!E101="","",'Sample Information'!E101)</f>
        <v/>
      </c>
      <c r="E61" t="str">
        <f>IF('Sample Information'!F101="","",'Sample Information'!F101)</f>
        <v/>
      </c>
      <c r="F61" t="str">
        <f>IF('Sample Information'!G101="","",'Sample Information'!G101)</f>
        <v/>
      </c>
      <c r="G61" t="str">
        <f>IF('Sample Information'!H101="","",'Sample Information'!H101)</f>
        <v/>
      </c>
      <c r="I61" t="str">
        <f>IF('Sample Information'!J101="","",'Sample Information'!J101)</f>
        <v/>
      </c>
      <c r="K61" t="str">
        <f>IF('Sample Information'!L101="","",'Sample Information'!L101)</f>
        <v/>
      </c>
      <c r="L61" s="163">
        <f t="shared" si="0"/>
        <v>0</v>
      </c>
      <c r="M61" s="163">
        <f t="shared" si="1"/>
        <v>0</v>
      </c>
      <c r="N61" s="163">
        <f t="shared" si="2"/>
        <v>0</v>
      </c>
      <c r="O61" t="str">
        <f>SUBSTITUTE(StripChar(B61),"-","")</f>
        <v/>
      </c>
      <c r="P61" s="163">
        <f t="shared" si="3"/>
        <v>0</v>
      </c>
      <c r="Q61" s="163">
        <f t="shared" si="4"/>
        <v>0</v>
      </c>
      <c r="R61" t="str">
        <f t="shared" si="5"/>
        <v/>
      </c>
    </row>
    <row r="62" spans="1:18" x14ac:dyDescent="0.2">
      <c r="A62" t="str">
        <f>IF('Sample Information'!$A102="","",IF('Sample Information'!$L$9="","INIT",'Sample Information'!$L$9)&amp;ROW(A62)-2)</f>
        <v/>
      </c>
      <c r="B62" t="str">
        <f>IF('Sample Information'!C102="","",'Sample Information'!C102)</f>
        <v/>
      </c>
      <c r="D62" t="str">
        <f>IF('Sample Information'!E102="","",'Sample Information'!E102)</f>
        <v/>
      </c>
      <c r="E62" t="str">
        <f>IF('Sample Information'!F102="","",'Sample Information'!F102)</f>
        <v/>
      </c>
      <c r="F62" t="str">
        <f>IF('Sample Information'!G102="","",'Sample Information'!G102)</f>
        <v/>
      </c>
      <c r="G62" t="str">
        <f>IF('Sample Information'!H102="","",'Sample Information'!H102)</f>
        <v/>
      </c>
      <c r="I62" t="str">
        <f>IF('Sample Information'!J102="","",'Sample Information'!J102)</f>
        <v/>
      </c>
      <c r="K62" t="str">
        <f>IF('Sample Information'!L102="","",'Sample Information'!L102)</f>
        <v/>
      </c>
      <c r="L62" s="163">
        <f t="shared" si="0"/>
        <v>0</v>
      </c>
      <c r="M62" s="163">
        <f t="shared" si="1"/>
        <v>0</v>
      </c>
      <c r="N62" s="163">
        <f t="shared" si="2"/>
        <v>0</v>
      </c>
      <c r="O62" t="str">
        <f>SUBSTITUTE(StripChar(B62),"-","")</f>
        <v/>
      </c>
      <c r="P62" s="163">
        <f t="shared" si="3"/>
        <v>0</v>
      </c>
      <c r="Q62" s="163">
        <f t="shared" si="4"/>
        <v>0</v>
      </c>
      <c r="R62" t="str">
        <f t="shared" si="5"/>
        <v/>
      </c>
    </row>
    <row r="63" spans="1:18" x14ac:dyDescent="0.2">
      <c r="A63" t="str">
        <f>IF('Sample Information'!$A103="","",IF('Sample Information'!$L$9="","INIT",'Sample Information'!$L$9)&amp;ROW(A63)-2)</f>
        <v/>
      </c>
      <c r="B63" t="str">
        <f>IF('Sample Information'!C103="","",'Sample Information'!C103)</f>
        <v/>
      </c>
      <c r="D63" t="str">
        <f>IF('Sample Information'!E103="","",'Sample Information'!E103)</f>
        <v/>
      </c>
      <c r="E63" t="str">
        <f>IF('Sample Information'!F103="","",'Sample Information'!F103)</f>
        <v/>
      </c>
      <c r="F63" t="str">
        <f>IF('Sample Information'!G103="","",'Sample Information'!G103)</f>
        <v/>
      </c>
      <c r="G63" t="str">
        <f>IF('Sample Information'!H103="","",'Sample Information'!H103)</f>
        <v/>
      </c>
      <c r="I63" t="str">
        <f>IF('Sample Information'!J103="","",'Sample Information'!J103)</f>
        <v/>
      </c>
      <c r="K63" t="str">
        <f>IF('Sample Information'!L103="","",'Sample Information'!L103)</f>
        <v/>
      </c>
      <c r="L63" s="163">
        <f t="shared" si="0"/>
        <v>0</v>
      </c>
      <c r="M63" s="163">
        <f t="shared" si="1"/>
        <v>0</v>
      </c>
      <c r="N63" s="163">
        <f t="shared" si="2"/>
        <v>0</v>
      </c>
      <c r="O63" t="str">
        <f>SUBSTITUTE(StripChar(B63),"-","")</f>
        <v/>
      </c>
      <c r="P63" s="163">
        <f t="shared" si="3"/>
        <v>0</v>
      </c>
      <c r="Q63" s="163">
        <f t="shared" si="4"/>
        <v>0</v>
      </c>
      <c r="R63" t="str">
        <f t="shared" si="5"/>
        <v/>
      </c>
    </row>
    <row r="64" spans="1:18" x14ac:dyDescent="0.2">
      <c r="A64" t="str">
        <f>IF('Sample Information'!$A104="","",IF('Sample Information'!$L$9="","INIT",'Sample Information'!$L$9)&amp;ROW(A64)-2)</f>
        <v/>
      </c>
      <c r="B64" t="str">
        <f>IF('Sample Information'!C104="","",'Sample Information'!C104)</f>
        <v/>
      </c>
      <c r="D64" t="str">
        <f>IF('Sample Information'!E104="","",'Sample Information'!E104)</f>
        <v/>
      </c>
      <c r="E64" t="str">
        <f>IF('Sample Information'!F104="","",'Sample Information'!F104)</f>
        <v/>
      </c>
      <c r="F64" t="str">
        <f>IF('Sample Information'!G104="","",'Sample Information'!G104)</f>
        <v/>
      </c>
      <c r="G64" t="str">
        <f>IF('Sample Information'!H104="","",'Sample Information'!H104)</f>
        <v/>
      </c>
      <c r="I64" t="str">
        <f>IF('Sample Information'!J104="","",'Sample Information'!J104)</f>
        <v/>
      </c>
      <c r="K64" t="str">
        <f>IF('Sample Information'!L104="","",'Sample Information'!L104)</f>
        <v/>
      </c>
      <c r="L64" s="163">
        <f t="shared" si="0"/>
        <v>0</v>
      </c>
      <c r="M64" s="163">
        <f t="shared" si="1"/>
        <v>0</v>
      </c>
      <c r="N64" s="163">
        <f t="shared" si="2"/>
        <v>0</v>
      </c>
      <c r="O64" t="str">
        <f>SUBSTITUTE(StripChar(B64),"-","")</f>
        <v/>
      </c>
      <c r="P64" s="163">
        <f t="shared" si="3"/>
        <v>0</v>
      </c>
      <c r="Q64" s="163">
        <f t="shared" si="4"/>
        <v>0</v>
      </c>
      <c r="R64" t="str">
        <f t="shared" si="5"/>
        <v/>
      </c>
    </row>
    <row r="65" spans="1:18" x14ac:dyDescent="0.2">
      <c r="A65" t="str">
        <f>IF('Sample Information'!$A105="","",IF('Sample Information'!$L$9="","INIT",'Sample Information'!$L$9)&amp;ROW(A65)-2)</f>
        <v/>
      </c>
      <c r="B65" t="str">
        <f>IF('Sample Information'!C105="","",'Sample Information'!C105)</f>
        <v/>
      </c>
      <c r="D65" t="str">
        <f>IF('Sample Information'!E105="","",'Sample Information'!E105)</f>
        <v/>
      </c>
      <c r="E65" t="str">
        <f>IF('Sample Information'!F105="","",'Sample Information'!F105)</f>
        <v/>
      </c>
      <c r="F65" t="str">
        <f>IF('Sample Information'!G105="","",'Sample Information'!G105)</f>
        <v/>
      </c>
      <c r="G65" t="str">
        <f>IF('Sample Information'!H105="","",'Sample Information'!H105)</f>
        <v/>
      </c>
      <c r="I65" t="str">
        <f>IF('Sample Information'!J105="","",'Sample Information'!J105)</f>
        <v/>
      </c>
      <c r="K65" t="str">
        <f>IF('Sample Information'!L105="","",'Sample Information'!L105)</f>
        <v/>
      </c>
      <c r="L65" s="163">
        <f t="shared" si="0"/>
        <v>0</v>
      </c>
      <c r="M65" s="163">
        <f t="shared" si="1"/>
        <v>0</v>
      </c>
      <c r="N65" s="163">
        <f t="shared" si="2"/>
        <v>0</v>
      </c>
      <c r="O65" t="str">
        <f>SUBSTITUTE(StripChar(B65),"-","")</f>
        <v/>
      </c>
      <c r="P65" s="163">
        <f t="shared" si="3"/>
        <v>0</v>
      </c>
      <c r="Q65" s="163">
        <f t="shared" si="4"/>
        <v>0</v>
      </c>
      <c r="R65" t="str">
        <f t="shared" si="5"/>
        <v/>
      </c>
    </row>
    <row r="66" spans="1:18" x14ac:dyDescent="0.2">
      <c r="A66" t="str">
        <f>IF('Sample Information'!$A106="","",IF('Sample Information'!$L$9="","INIT",'Sample Information'!$L$9)&amp;ROW(A66)-2)</f>
        <v/>
      </c>
      <c r="B66" t="str">
        <f>IF('Sample Information'!C106="","",'Sample Information'!C106)</f>
        <v/>
      </c>
      <c r="D66" t="str">
        <f>IF('Sample Information'!E106="","",'Sample Information'!E106)</f>
        <v/>
      </c>
      <c r="E66" t="str">
        <f>IF('Sample Information'!F106="","",'Sample Information'!F106)</f>
        <v/>
      </c>
      <c r="F66" t="str">
        <f>IF('Sample Information'!G106="","",'Sample Information'!G106)</f>
        <v/>
      </c>
      <c r="G66" t="str">
        <f>IF('Sample Information'!H106="","",'Sample Information'!H106)</f>
        <v/>
      </c>
      <c r="I66" t="str">
        <f>IF('Sample Information'!J106="","",'Sample Information'!J106)</f>
        <v/>
      </c>
      <c r="K66" t="str">
        <f>IF('Sample Information'!L106="","",'Sample Information'!L106)</f>
        <v/>
      </c>
      <c r="L66" s="163">
        <f t="shared" si="0"/>
        <v>0</v>
      </c>
      <c r="M66" s="163">
        <f t="shared" si="1"/>
        <v>0</v>
      </c>
      <c r="N66" s="163">
        <f t="shared" si="2"/>
        <v>0</v>
      </c>
      <c r="O66" t="str">
        <f>SUBSTITUTE(StripChar(B66),"-","")</f>
        <v/>
      </c>
      <c r="P66" s="163">
        <f t="shared" si="3"/>
        <v>0</v>
      </c>
      <c r="Q66" s="163">
        <f t="shared" si="4"/>
        <v>0</v>
      </c>
      <c r="R66" t="str">
        <f t="shared" si="5"/>
        <v/>
      </c>
    </row>
    <row r="67" spans="1:18" x14ac:dyDescent="0.2">
      <c r="A67" t="str">
        <f>IF('Sample Information'!$A107="","",IF('Sample Information'!$L$9="","INIT",'Sample Information'!$L$9)&amp;ROW(A67)-2)</f>
        <v/>
      </c>
      <c r="B67" t="str">
        <f>IF('Sample Information'!C107="","",'Sample Information'!C107)</f>
        <v/>
      </c>
      <c r="D67" t="str">
        <f>IF('Sample Information'!E107="","",'Sample Information'!E107)</f>
        <v/>
      </c>
      <c r="E67" t="str">
        <f>IF('Sample Information'!F107="","",'Sample Information'!F107)</f>
        <v/>
      </c>
      <c r="F67" t="str">
        <f>IF('Sample Information'!G107="","",'Sample Information'!G107)</f>
        <v/>
      </c>
      <c r="G67" t="str">
        <f>IF('Sample Information'!H107="","",'Sample Information'!H107)</f>
        <v/>
      </c>
      <c r="I67" t="str">
        <f>IF('Sample Information'!J107="","",'Sample Information'!J107)</f>
        <v/>
      </c>
      <c r="K67" t="str">
        <f>IF('Sample Information'!L107="","",'Sample Information'!L107)</f>
        <v/>
      </c>
      <c r="L67" s="163">
        <f t="shared" si="0"/>
        <v>0</v>
      </c>
      <c r="M67" s="163">
        <f t="shared" si="1"/>
        <v>0</v>
      </c>
      <c r="N67" s="163">
        <f t="shared" si="2"/>
        <v>0</v>
      </c>
      <c r="O67" t="str">
        <f>SUBSTITUTE(StripChar(B67),"-","")</f>
        <v/>
      </c>
      <c r="P67" s="163">
        <f t="shared" si="3"/>
        <v>0</v>
      </c>
      <c r="Q67" s="163">
        <f t="shared" si="4"/>
        <v>0</v>
      </c>
      <c r="R67" t="str">
        <f t="shared" si="5"/>
        <v/>
      </c>
    </row>
    <row r="68" spans="1:18" x14ac:dyDescent="0.2">
      <c r="A68" t="str">
        <f>IF('Sample Information'!$A108="","",IF('Sample Information'!$L$9="","INIT",'Sample Information'!$L$9)&amp;ROW(A68)-2)</f>
        <v/>
      </c>
      <c r="B68" t="str">
        <f>IF('Sample Information'!C108="","",'Sample Information'!C108)</f>
        <v/>
      </c>
      <c r="D68" t="str">
        <f>IF('Sample Information'!E108="","",'Sample Information'!E108)</f>
        <v/>
      </c>
      <c r="E68" t="str">
        <f>IF('Sample Information'!F108="","",'Sample Information'!F108)</f>
        <v/>
      </c>
      <c r="F68" t="str">
        <f>IF('Sample Information'!G108="","",'Sample Information'!G108)</f>
        <v/>
      </c>
      <c r="G68" t="str">
        <f>IF('Sample Information'!H108="","",'Sample Information'!H108)</f>
        <v/>
      </c>
      <c r="I68" t="str">
        <f>IF('Sample Information'!J108="","",'Sample Information'!J108)</f>
        <v/>
      </c>
      <c r="K68" t="str">
        <f>IF('Sample Information'!L108="","",'Sample Information'!L108)</f>
        <v/>
      </c>
      <c r="L68" s="163">
        <f t="shared" ref="L68:L131" si="6">SUM(M68:N68)+IF(P68&gt;1,10,0)+IF(AND(A68&lt;&gt;"",B68=""),100,0)</f>
        <v>0</v>
      </c>
      <c r="M68" s="163">
        <f t="shared" ref="M68:M131" si="7">IF(ISERROR(FIND("_",B68)),0,1)</f>
        <v>0</v>
      </c>
      <c r="N68" s="163">
        <f t="shared" ref="N68:N131" si="8">IF(LEN(O68)&gt;0,1,0)</f>
        <v>0</v>
      </c>
      <c r="O68" t="str">
        <f>SUBSTITUTE(StripChar(B68),"-","")</f>
        <v/>
      </c>
      <c r="P68" s="163">
        <f t="shared" ref="P68:P131" si="9">IF(B68="",0,COUNTIF($B$3:$B$152,B68))</f>
        <v>0</v>
      </c>
      <c r="Q68" s="163">
        <f t="shared" ref="Q68:Q131" si="10">IF(R68="",0,COUNTIF($R$3:$R$152,R68))</f>
        <v>0</v>
      </c>
      <c r="R68" t="str">
        <f t="shared" ref="R68:R131" si="11">G68&amp;I68</f>
        <v/>
      </c>
    </row>
    <row r="69" spans="1:18" x14ac:dyDescent="0.2">
      <c r="A69" t="str">
        <f>IF('Sample Information'!$A109="","",IF('Sample Information'!$L$9="","INIT",'Sample Information'!$L$9)&amp;ROW(A69)-2)</f>
        <v/>
      </c>
      <c r="B69" t="str">
        <f>IF('Sample Information'!C109="","",'Sample Information'!C109)</f>
        <v/>
      </c>
      <c r="D69" t="str">
        <f>IF('Sample Information'!E109="","",'Sample Information'!E109)</f>
        <v/>
      </c>
      <c r="E69" t="str">
        <f>IF('Sample Information'!F109="","",'Sample Information'!F109)</f>
        <v/>
      </c>
      <c r="F69" t="str">
        <f>IF('Sample Information'!G109="","",'Sample Information'!G109)</f>
        <v/>
      </c>
      <c r="G69" t="str">
        <f>IF('Sample Information'!H109="","",'Sample Information'!H109)</f>
        <v/>
      </c>
      <c r="I69" t="str">
        <f>IF('Sample Information'!J109="","",'Sample Information'!J109)</f>
        <v/>
      </c>
      <c r="K69" t="str">
        <f>IF('Sample Information'!L109="","",'Sample Information'!L109)</f>
        <v/>
      </c>
      <c r="L69" s="163">
        <f t="shared" si="6"/>
        <v>0</v>
      </c>
      <c r="M69" s="163">
        <f t="shared" si="7"/>
        <v>0</v>
      </c>
      <c r="N69" s="163">
        <f t="shared" si="8"/>
        <v>0</v>
      </c>
      <c r="O69" t="str">
        <f>SUBSTITUTE(StripChar(B69),"-","")</f>
        <v/>
      </c>
      <c r="P69" s="163">
        <f t="shared" si="9"/>
        <v>0</v>
      </c>
      <c r="Q69" s="163">
        <f t="shared" si="10"/>
        <v>0</v>
      </c>
      <c r="R69" t="str">
        <f t="shared" si="11"/>
        <v/>
      </c>
    </row>
    <row r="70" spans="1:18" x14ac:dyDescent="0.2">
      <c r="A70" t="str">
        <f>IF('Sample Information'!$A110="","",IF('Sample Information'!$L$9="","INIT",'Sample Information'!$L$9)&amp;ROW(A70)-2)</f>
        <v/>
      </c>
      <c r="B70" t="str">
        <f>IF('Sample Information'!C110="","",'Sample Information'!C110)</f>
        <v/>
      </c>
      <c r="D70" t="str">
        <f>IF('Sample Information'!E110="","",'Sample Information'!E110)</f>
        <v/>
      </c>
      <c r="E70" t="str">
        <f>IF('Sample Information'!F110="","",'Sample Information'!F110)</f>
        <v/>
      </c>
      <c r="F70" t="str">
        <f>IF('Sample Information'!G110="","",'Sample Information'!G110)</f>
        <v/>
      </c>
      <c r="G70" t="str">
        <f>IF('Sample Information'!H110="","",'Sample Information'!H110)</f>
        <v/>
      </c>
      <c r="I70" t="str">
        <f>IF('Sample Information'!J110="","",'Sample Information'!J110)</f>
        <v/>
      </c>
      <c r="K70" t="str">
        <f>IF('Sample Information'!L110="","",'Sample Information'!L110)</f>
        <v/>
      </c>
      <c r="L70" s="163">
        <f t="shared" si="6"/>
        <v>0</v>
      </c>
      <c r="M70" s="163">
        <f t="shared" si="7"/>
        <v>0</v>
      </c>
      <c r="N70" s="163">
        <f t="shared" si="8"/>
        <v>0</v>
      </c>
      <c r="O70" t="str">
        <f>SUBSTITUTE(StripChar(B70),"-","")</f>
        <v/>
      </c>
      <c r="P70" s="163">
        <f t="shared" si="9"/>
        <v>0</v>
      </c>
      <c r="Q70" s="163">
        <f t="shared" si="10"/>
        <v>0</v>
      </c>
      <c r="R70" t="str">
        <f t="shared" si="11"/>
        <v/>
      </c>
    </row>
    <row r="71" spans="1:18" x14ac:dyDescent="0.2">
      <c r="A71" t="str">
        <f>IF('Sample Information'!$A111="","",IF('Sample Information'!$L$9="","INIT",'Sample Information'!$L$9)&amp;ROW(A71)-2)</f>
        <v/>
      </c>
      <c r="B71" t="str">
        <f>IF('Sample Information'!C111="","",'Sample Information'!C111)</f>
        <v/>
      </c>
      <c r="D71" t="str">
        <f>IF('Sample Information'!E111="","",'Sample Information'!E111)</f>
        <v/>
      </c>
      <c r="E71" t="str">
        <f>IF('Sample Information'!F111="","",'Sample Information'!F111)</f>
        <v/>
      </c>
      <c r="F71" t="str">
        <f>IF('Sample Information'!G111="","",'Sample Information'!G111)</f>
        <v/>
      </c>
      <c r="G71" t="str">
        <f>IF('Sample Information'!H111="","",'Sample Information'!H111)</f>
        <v/>
      </c>
      <c r="I71" t="str">
        <f>IF('Sample Information'!J111="","",'Sample Information'!J111)</f>
        <v/>
      </c>
      <c r="K71" t="str">
        <f>IF('Sample Information'!L111="","",'Sample Information'!L111)</f>
        <v/>
      </c>
      <c r="L71" s="163">
        <f t="shared" si="6"/>
        <v>0</v>
      </c>
      <c r="M71" s="163">
        <f t="shared" si="7"/>
        <v>0</v>
      </c>
      <c r="N71" s="163">
        <f t="shared" si="8"/>
        <v>0</v>
      </c>
      <c r="O71" t="str">
        <f>SUBSTITUTE(StripChar(B71),"-","")</f>
        <v/>
      </c>
      <c r="P71" s="163">
        <f t="shared" si="9"/>
        <v>0</v>
      </c>
      <c r="Q71" s="163">
        <f t="shared" si="10"/>
        <v>0</v>
      </c>
      <c r="R71" t="str">
        <f t="shared" si="11"/>
        <v/>
      </c>
    </row>
    <row r="72" spans="1:18" x14ac:dyDescent="0.2">
      <c r="A72" t="str">
        <f>IF('Sample Information'!$A112="","",IF('Sample Information'!$L$9="","INIT",'Sample Information'!$L$9)&amp;ROW(A72)-2)</f>
        <v/>
      </c>
      <c r="B72" t="str">
        <f>IF('Sample Information'!C112="","",'Sample Information'!C112)</f>
        <v/>
      </c>
      <c r="D72" t="str">
        <f>IF('Sample Information'!E112="","",'Sample Information'!E112)</f>
        <v/>
      </c>
      <c r="E72" t="str">
        <f>IF('Sample Information'!F112="","",'Sample Information'!F112)</f>
        <v/>
      </c>
      <c r="F72" t="str">
        <f>IF('Sample Information'!G112="","",'Sample Information'!G112)</f>
        <v/>
      </c>
      <c r="G72" t="str">
        <f>IF('Sample Information'!H112="","",'Sample Information'!H112)</f>
        <v/>
      </c>
      <c r="I72" t="str">
        <f>IF('Sample Information'!J112="","",'Sample Information'!J112)</f>
        <v/>
      </c>
      <c r="K72" t="str">
        <f>IF('Sample Information'!L112="","",'Sample Information'!L112)</f>
        <v/>
      </c>
      <c r="L72" s="163">
        <f t="shared" si="6"/>
        <v>0</v>
      </c>
      <c r="M72" s="163">
        <f t="shared" si="7"/>
        <v>0</v>
      </c>
      <c r="N72" s="163">
        <f t="shared" si="8"/>
        <v>0</v>
      </c>
      <c r="O72" t="str">
        <f>SUBSTITUTE(StripChar(B72),"-","")</f>
        <v/>
      </c>
      <c r="P72" s="163">
        <f t="shared" si="9"/>
        <v>0</v>
      </c>
      <c r="Q72" s="163">
        <f t="shared" si="10"/>
        <v>0</v>
      </c>
      <c r="R72" t="str">
        <f t="shared" si="11"/>
        <v/>
      </c>
    </row>
    <row r="73" spans="1:18" x14ac:dyDescent="0.2">
      <c r="A73" t="str">
        <f>IF('Sample Information'!$A113="","",IF('Sample Information'!$L$9="","INIT",'Sample Information'!$L$9)&amp;ROW(A73)-2)</f>
        <v/>
      </c>
      <c r="B73" t="str">
        <f>IF('Sample Information'!C113="","",'Sample Information'!C113)</f>
        <v/>
      </c>
      <c r="D73" t="str">
        <f>IF('Sample Information'!E113="","",'Sample Information'!E113)</f>
        <v/>
      </c>
      <c r="E73" t="str">
        <f>IF('Sample Information'!F113="","",'Sample Information'!F113)</f>
        <v/>
      </c>
      <c r="F73" t="str">
        <f>IF('Sample Information'!G113="","",'Sample Information'!G113)</f>
        <v/>
      </c>
      <c r="G73" t="str">
        <f>IF('Sample Information'!H113="","",'Sample Information'!H113)</f>
        <v/>
      </c>
      <c r="I73" t="str">
        <f>IF('Sample Information'!J113="","",'Sample Information'!J113)</f>
        <v/>
      </c>
      <c r="K73" t="str">
        <f>IF('Sample Information'!L113="","",'Sample Information'!L113)</f>
        <v/>
      </c>
      <c r="L73" s="163">
        <f t="shared" si="6"/>
        <v>0</v>
      </c>
      <c r="M73" s="163">
        <f t="shared" si="7"/>
        <v>0</v>
      </c>
      <c r="N73" s="163">
        <f t="shared" si="8"/>
        <v>0</v>
      </c>
      <c r="O73" t="str">
        <f>SUBSTITUTE(StripChar(B73),"-","")</f>
        <v/>
      </c>
      <c r="P73" s="163">
        <f t="shared" si="9"/>
        <v>0</v>
      </c>
      <c r="Q73" s="163">
        <f t="shared" si="10"/>
        <v>0</v>
      </c>
      <c r="R73" t="str">
        <f t="shared" si="11"/>
        <v/>
      </c>
    </row>
    <row r="74" spans="1:18" x14ac:dyDescent="0.2">
      <c r="A74" t="str">
        <f>IF('Sample Information'!$A114="","",IF('Sample Information'!$L$9="","INIT",'Sample Information'!$L$9)&amp;ROW(A74)-2)</f>
        <v/>
      </c>
      <c r="B74" t="str">
        <f>IF('Sample Information'!C114="","",'Sample Information'!C114)</f>
        <v/>
      </c>
      <c r="D74" t="str">
        <f>IF('Sample Information'!E114="","",'Sample Information'!E114)</f>
        <v/>
      </c>
      <c r="E74" t="str">
        <f>IF('Sample Information'!F114="","",'Sample Information'!F114)</f>
        <v/>
      </c>
      <c r="F74" t="str">
        <f>IF('Sample Information'!G114="","",'Sample Information'!G114)</f>
        <v/>
      </c>
      <c r="G74" t="str">
        <f>IF('Sample Information'!H114="","",'Sample Information'!H114)</f>
        <v/>
      </c>
      <c r="I74" t="str">
        <f>IF('Sample Information'!J114="","",'Sample Information'!J114)</f>
        <v/>
      </c>
      <c r="K74" t="str">
        <f>IF('Sample Information'!L114="","",'Sample Information'!L114)</f>
        <v/>
      </c>
      <c r="L74" s="163">
        <f t="shared" si="6"/>
        <v>0</v>
      </c>
      <c r="M74" s="163">
        <f t="shared" si="7"/>
        <v>0</v>
      </c>
      <c r="N74" s="163">
        <f t="shared" si="8"/>
        <v>0</v>
      </c>
      <c r="O74" t="str">
        <f>SUBSTITUTE(StripChar(B74),"-","")</f>
        <v/>
      </c>
      <c r="P74" s="163">
        <f t="shared" si="9"/>
        <v>0</v>
      </c>
      <c r="Q74" s="163">
        <f t="shared" si="10"/>
        <v>0</v>
      </c>
      <c r="R74" t="str">
        <f t="shared" si="11"/>
        <v/>
      </c>
    </row>
    <row r="75" spans="1:18" x14ac:dyDescent="0.2">
      <c r="A75" t="str">
        <f>IF('Sample Information'!$A115="","",IF('Sample Information'!$L$9="","INIT",'Sample Information'!$L$9)&amp;ROW(A75)-2)</f>
        <v/>
      </c>
      <c r="B75" t="str">
        <f>IF('Sample Information'!C115="","",'Sample Information'!C115)</f>
        <v/>
      </c>
      <c r="D75" t="str">
        <f>IF('Sample Information'!E115="","",'Sample Information'!E115)</f>
        <v/>
      </c>
      <c r="E75" t="str">
        <f>IF('Sample Information'!F115="","",'Sample Information'!F115)</f>
        <v/>
      </c>
      <c r="F75" t="str">
        <f>IF('Sample Information'!G115="","",'Sample Information'!G115)</f>
        <v/>
      </c>
      <c r="G75" t="str">
        <f>IF('Sample Information'!H115="","",'Sample Information'!H115)</f>
        <v/>
      </c>
      <c r="I75" t="str">
        <f>IF('Sample Information'!J115="","",'Sample Information'!J115)</f>
        <v/>
      </c>
      <c r="K75" t="str">
        <f>IF('Sample Information'!L115="","",'Sample Information'!L115)</f>
        <v/>
      </c>
      <c r="L75" s="163">
        <f t="shared" si="6"/>
        <v>0</v>
      </c>
      <c r="M75" s="163">
        <f t="shared" si="7"/>
        <v>0</v>
      </c>
      <c r="N75" s="163">
        <f t="shared" si="8"/>
        <v>0</v>
      </c>
      <c r="O75" t="str">
        <f>SUBSTITUTE(StripChar(B75),"-","")</f>
        <v/>
      </c>
      <c r="P75" s="163">
        <f t="shared" si="9"/>
        <v>0</v>
      </c>
      <c r="Q75" s="163">
        <f t="shared" si="10"/>
        <v>0</v>
      </c>
      <c r="R75" t="str">
        <f t="shared" si="11"/>
        <v/>
      </c>
    </row>
    <row r="76" spans="1:18" x14ac:dyDescent="0.2">
      <c r="A76" t="str">
        <f>IF('Sample Information'!$A116="","",IF('Sample Information'!$L$9="","INIT",'Sample Information'!$L$9)&amp;ROW(A76)-2)</f>
        <v/>
      </c>
      <c r="B76" t="str">
        <f>IF('Sample Information'!C116="","",'Sample Information'!C116)</f>
        <v/>
      </c>
      <c r="D76" t="str">
        <f>IF('Sample Information'!E116="","",'Sample Information'!E116)</f>
        <v/>
      </c>
      <c r="E76" t="str">
        <f>IF('Sample Information'!F116="","",'Sample Information'!F116)</f>
        <v/>
      </c>
      <c r="F76" t="str">
        <f>IF('Sample Information'!G116="","",'Sample Information'!G116)</f>
        <v/>
      </c>
      <c r="G76" t="str">
        <f>IF('Sample Information'!H116="","",'Sample Information'!H116)</f>
        <v/>
      </c>
      <c r="I76" t="str">
        <f>IF('Sample Information'!J116="","",'Sample Information'!J116)</f>
        <v/>
      </c>
      <c r="K76" t="str">
        <f>IF('Sample Information'!L116="","",'Sample Information'!L116)</f>
        <v/>
      </c>
      <c r="L76" s="163">
        <f t="shared" si="6"/>
        <v>0</v>
      </c>
      <c r="M76" s="163">
        <f t="shared" si="7"/>
        <v>0</v>
      </c>
      <c r="N76" s="163">
        <f t="shared" si="8"/>
        <v>0</v>
      </c>
      <c r="O76" t="str">
        <f>SUBSTITUTE(StripChar(B76),"-","")</f>
        <v/>
      </c>
      <c r="P76" s="163">
        <f t="shared" si="9"/>
        <v>0</v>
      </c>
      <c r="Q76" s="163">
        <f t="shared" si="10"/>
        <v>0</v>
      </c>
      <c r="R76" t="str">
        <f t="shared" si="11"/>
        <v/>
      </c>
    </row>
    <row r="77" spans="1:18" x14ac:dyDescent="0.2">
      <c r="A77" t="str">
        <f>IF('Sample Information'!$A117="","",IF('Sample Information'!$L$9="","INIT",'Sample Information'!$L$9)&amp;ROW(A77)-2)</f>
        <v/>
      </c>
      <c r="B77" t="str">
        <f>IF('Sample Information'!C117="","",'Sample Information'!C117)</f>
        <v/>
      </c>
      <c r="D77" t="str">
        <f>IF('Sample Information'!E117="","",'Sample Information'!E117)</f>
        <v/>
      </c>
      <c r="E77" t="str">
        <f>IF('Sample Information'!F117="","",'Sample Information'!F117)</f>
        <v/>
      </c>
      <c r="F77" t="str">
        <f>IF('Sample Information'!G117="","",'Sample Information'!G117)</f>
        <v/>
      </c>
      <c r="G77" t="str">
        <f>IF('Sample Information'!H117="","",'Sample Information'!H117)</f>
        <v/>
      </c>
      <c r="I77" t="str">
        <f>IF('Sample Information'!J117="","",'Sample Information'!J117)</f>
        <v/>
      </c>
      <c r="K77" t="str">
        <f>IF('Sample Information'!L117="","",'Sample Information'!L117)</f>
        <v/>
      </c>
      <c r="L77" s="163">
        <f t="shared" si="6"/>
        <v>0</v>
      </c>
      <c r="M77" s="163">
        <f t="shared" si="7"/>
        <v>0</v>
      </c>
      <c r="N77" s="163">
        <f t="shared" si="8"/>
        <v>0</v>
      </c>
      <c r="O77" t="str">
        <f>SUBSTITUTE(StripChar(B77),"-","")</f>
        <v/>
      </c>
      <c r="P77" s="163">
        <f t="shared" si="9"/>
        <v>0</v>
      </c>
      <c r="Q77" s="163">
        <f t="shared" si="10"/>
        <v>0</v>
      </c>
      <c r="R77" t="str">
        <f t="shared" si="11"/>
        <v/>
      </c>
    </row>
    <row r="78" spans="1:18" x14ac:dyDescent="0.2">
      <c r="A78" t="str">
        <f>IF('Sample Information'!$A118="","",IF('Sample Information'!$L$9="","INIT",'Sample Information'!$L$9)&amp;ROW(A78)-2)</f>
        <v/>
      </c>
      <c r="B78" t="str">
        <f>IF('Sample Information'!C118="","",'Sample Information'!C118)</f>
        <v/>
      </c>
      <c r="D78" t="str">
        <f>IF('Sample Information'!E118="","",'Sample Information'!E118)</f>
        <v/>
      </c>
      <c r="E78" t="str">
        <f>IF('Sample Information'!F118="","",'Sample Information'!F118)</f>
        <v/>
      </c>
      <c r="F78" t="str">
        <f>IF('Sample Information'!G118="","",'Sample Information'!G118)</f>
        <v/>
      </c>
      <c r="G78" t="str">
        <f>IF('Sample Information'!H118="","",'Sample Information'!H118)</f>
        <v/>
      </c>
      <c r="I78" t="str">
        <f>IF('Sample Information'!J118="","",'Sample Information'!J118)</f>
        <v/>
      </c>
      <c r="K78" t="str">
        <f>IF('Sample Information'!L118="","",'Sample Information'!L118)</f>
        <v/>
      </c>
      <c r="L78" s="163">
        <f t="shared" si="6"/>
        <v>0</v>
      </c>
      <c r="M78" s="163">
        <f t="shared" si="7"/>
        <v>0</v>
      </c>
      <c r="N78" s="163">
        <f t="shared" si="8"/>
        <v>0</v>
      </c>
      <c r="O78" t="str">
        <f>SUBSTITUTE(StripChar(B78),"-","")</f>
        <v/>
      </c>
      <c r="P78" s="163">
        <f t="shared" si="9"/>
        <v>0</v>
      </c>
      <c r="Q78" s="163">
        <f t="shared" si="10"/>
        <v>0</v>
      </c>
      <c r="R78" t="str">
        <f t="shared" si="11"/>
        <v/>
      </c>
    </row>
    <row r="79" spans="1:18" x14ac:dyDescent="0.2">
      <c r="A79" t="str">
        <f>IF('Sample Information'!$A119="","",IF('Sample Information'!$L$9="","INIT",'Sample Information'!$L$9)&amp;ROW(A79)-2)</f>
        <v/>
      </c>
      <c r="B79" t="str">
        <f>IF('Sample Information'!C119="","",'Sample Information'!C119)</f>
        <v/>
      </c>
      <c r="D79" t="str">
        <f>IF('Sample Information'!E119="","",'Sample Information'!E119)</f>
        <v/>
      </c>
      <c r="E79" t="str">
        <f>IF('Sample Information'!F119="","",'Sample Information'!F119)</f>
        <v/>
      </c>
      <c r="F79" t="str">
        <f>IF('Sample Information'!G119="","",'Sample Information'!G119)</f>
        <v/>
      </c>
      <c r="G79" t="str">
        <f>IF('Sample Information'!H119="","",'Sample Information'!H119)</f>
        <v/>
      </c>
      <c r="I79" t="str">
        <f>IF('Sample Information'!J119="","",'Sample Information'!J119)</f>
        <v/>
      </c>
      <c r="K79" t="str">
        <f>IF('Sample Information'!L119="","",'Sample Information'!L119)</f>
        <v/>
      </c>
      <c r="L79" s="163">
        <f t="shared" si="6"/>
        <v>0</v>
      </c>
      <c r="M79" s="163">
        <f t="shared" si="7"/>
        <v>0</v>
      </c>
      <c r="N79" s="163">
        <f t="shared" si="8"/>
        <v>0</v>
      </c>
      <c r="O79" t="str">
        <f>SUBSTITUTE(StripChar(B79),"-","")</f>
        <v/>
      </c>
      <c r="P79" s="163">
        <f t="shared" si="9"/>
        <v>0</v>
      </c>
      <c r="Q79" s="163">
        <f t="shared" si="10"/>
        <v>0</v>
      </c>
      <c r="R79" t="str">
        <f t="shared" si="11"/>
        <v/>
      </c>
    </row>
    <row r="80" spans="1:18" x14ac:dyDescent="0.2">
      <c r="A80" t="str">
        <f>IF('Sample Information'!$A120="","",IF('Sample Information'!$L$9="","INIT",'Sample Information'!$L$9)&amp;ROW(A80)-2)</f>
        <v/>
      </c>
      <c r="B80" t="str">
        <f>IF('Sample Information'!C120="","",'Sample Information'!C120)</f>
        <v/>
      </c>
      <c r="D80" t="str">
        <f>IF('Sample Information'!E120="","",'Sample Information'!E120)</f>
        <v/>
      </c>
      <c r="E80" t="str">
        <f>IF('Sample Information'!F120="","",'Sample Information'!F120)</f>
        <v/>
      </c>
      <c r="F80" t="str">
        <f>IF('Sample Information'!G120="","",'Sample Information'!G120)</f>
        <v/>
      </c>
      <c r="G80" t="str">
        <f>IF('Sample Information'!H120="","",'Sample Information'!H120)</f>
        <v/>
      </c>
      <c r="I80" t="str">
        <f>IF('Sample Information'!J120="","",'Sample Information'!J120)</f>
        <v/>
      </c>
      <c r="K80" t="str">
        <f>IF('Sample Information'!L120="","",'Sample Information'!L120)</f>
        <v/>
      </c>
      <c r="L80" s="163">
        <f t="shared" si="6"/>
        <v>0</v>
      </c>
      <c r="M80" s="163">
        <f t="shared" si="7"/>
        <v>0</v>
      </c>
      <c r="N80" s="163">
        <f t="shared" si="8"/>
        <v>0</v>
      </c>
      <c r="O80" t="str">
        <f>SUBSTITUTE(StripChar(B80),"-","")</f>
        <v/>
      </c>
      <c r="P80" s="163">
        <f t="shared" si="9"/>
        <v>0</v>
      </c>
      <c r="Q80" s="163">
        <f t="shared" si="10"/>
        <v>0</v>
      </c>
      <c r="R80" t="str">
        <f t="shared" si="11"/>
        <v/>
      </c>
    </row>
    <row r="81" spans="1:18" x14ac:dyDescent="0.2">
      <c r="A81" t="str">
        <f>IF('Sample Information'!$A121="","",IF('Sample Information'!$L$9="","INIT",'Sample Information'!$L$9)&amp;ROW(A81)-2)</f>
        <v/>
      </c>
      <c r="B81" t="str">
        <f>IF('Sample Information'!C121="","",'Sample Information'!C121)</f>
        <v/>
      </c>
      <c r="D81" t="str">
        <f>IF('Sample Information'!E121="","",'Sample Information'!E121)</f>
        <v/>
      </c>
      <c r="E81" t="str">
        <f>IF('Sample Information'!F121="","",'Sample Information'!F121)</f>
        <v/>
      </c>
      <c r="F81" t="str">
        <f>IF('Sample Information'!G121="","",'Sample Information'!G121)</f>
        <v/>
      </c>
      <c r="G81" t="str">
        <f>IF('Sample Information'!H121="","",'Sample Information'!H121)</f>
        <v/>
      </c>
      <c r="I81" t="str">
        <f>IF('Sample Information'!J121="","",'Sample Information'!J121)</f>
        <v/>
      </c>
      <c r="K81" t="str">
        <f>IF('Sample Information'!L121="","",'Sample Information'!L121)</f>
        <v/>
      </c>
      <c r="L81" s="163">
        <f t="shared" si="6"/>
        <v>0</v>
      </c>
      <c r="M81" s="163">
        <f t="shared" si="7"/>
        <v>0</v>
      </c>
      <c r="N81" s="163">
        <f t="shared" si="8"/>
        <v>0</v>
      </c>
      <c r="O81" t="str">
        <f>SUBSTITUTE(StripChar(B81),"-","")</f>
        <v/>
      </c>
      <c r="P81" s="163">
        <f t="shared" si="9"/>
        <v>0</v>
      </c>
      <c r="Q81" s="163">
        <f t="shared" si="10"/>
        <v>0</v>
      </c>
      <c r="R81" t="str">
        <f t="shared" si="11"/>
        <v/>
      </c>
    </row>
    <row r="82" spans="1:18" x14ac:dyDescent="0.2">
      <c r="A82" t="str">
        <f>IF('Sample Information'!$A122="","",IF('Sample Information'!$L$9="","INIT",'Sample Information'!$L$9)&amp;ROW(A82)-2)</f>
        <v/>
      </c>
      <c r="B82" t="str">
        <f>IF('Sample Information'!C122="","",'Sample Information'!C122)</f>
        <v/>
      </c>
      <c r="D82" t="str">
        <f>IF('Sample Information'!E122="","",'Sample Information'!E122)</f>
        <v/>
      </c>
      <c r="E82" t="str">
        <f>IF('Sample Information'!F122="","",'Sample Information'!F122)</f>
        <v/>
      </c>
      <c r="F82" t="str">
        <f>IF('Sample Information'!G122="","",'Sample Information'!G122)</f>
        <v/>
      </c>
      <c r="G82" t="str">
        <f>IF('Sample Information'!H122="","",'Sample Information'!H122)</f>
        <v/>
      </c>
      <c r="I82" t="str">
        <f>IF('Sample Information'!J122="","",'Sample Information'!J122)</f>
        <v/>
      </c>
      <c r="K82" t="str">
        <f>IF('Sample Information'!L122="","",'Sample Information'!L122)</f>
        <v/>
      </c>
      <c r="L82" s="163">
        <f t="shared" si="6"/>
        <v>0</v>
      </c>
      <c r="M82" s="163">
        <f t="shared" si="7"/>
        <v>0</v>
      </c>
      <c r="N82" s="163">
        <f t="shared" si="8"/>
        <v>0</v>
      </c>
      <c r="O82" t="str">
        <f>SUBSTITUTE(StripChar(B82),"-","")</f>
        <v/>
      </c>
      <c r="P82" s="163">
        <f t="shared" si="9"/>
        <v>0</v>
      </c>
      <c r="Q82" s="163">
        <f t="shared" si="10"/>
        <v>0</v>
      </c>
      <c r="R82" t="str">
        <f t="shared" si="11"/>
        <v/>
      </c>
    </row>
    <row r="83" spans="1:18" x14ac:dyDescent="0.2">
      <c r="A83" t="str">
        <f>IF('Sample Information'!$A123="","",IF('Sample Information'!$L$9="","INIT",'Sample Information'!$L$9)&amp;ROW(A83)-2)</f>
        <v/>
      </c>
      <c r="B83" t="str">
        <f>IF('Sample Information'!C123="","",'Sample Information'!C123)</f>
        <v/>
      </c>
      <c r="D83" t="str">
        <f>IF('Sample Information'!E123="","",'Sample Information'!E123)</f>
        <v/>
      </c>
      <c r="E83" t="str">
        <f>IF('Sample Information'!F123="","",'Sample Information'!F123)</f>
        <v/>
      </c>
      <c r="F83" t="str">
        <f>IF('Sample Information'!G123="","",'Sample Information'!G123)</f>
        <v/>
      </c>
      <c r="G83" t="str">
        <f>IF('Sample Information'!H123="","",'Sample Information'!H123)</f>
        <v/>
      </c>
      <c r="I83" t="str">
        <f>IF('Sample Information'!J123="","",'Sample Information'!J123)</f>
        <v/>
      </c>
      <c r="K83" t="str">
        <f>IF('Sample Information'!L123="","",'Sample Information'!L123)</f>
        <v/>
      </c>
      <c r="L83" s="163">
        <f t="shared" si="6"/>
        <v>0</v>
      </c>
      <c r="M83" s="163">
        <f t="shared" si="7"/>
        <v>0</v>
      </c>
      <c r="N83" s="163">
        <f t="shared" si="8"/>
        <v>0</v>
      </c>
      <c r="O83" t="str">
        <f>SUBSTITUTE(StripChar(B83),"-","")</f>
        <v/>
      </c>
      <c r="P83" s="163">
        <f t="shared" si="9"/>
        <v>0</v>
      </c>
      <c r="Q83" s="163">
        <f t="shared" si="10"/>
        <v>0</v>
      </c>
      <c r="R83" t="str">
        <f t="shared" si="11"/>
        <v/>
      </c>
    </row>
    <row r="84" spans="1:18" x14ac:dyDescent="0.2">
      <c r="A84" t="str">
        <f>IF('Sample Information'!$A124="","",IF('Sample Information'!$L$9="","INIT",'Sample Information'!$L$9)&amp;ROW(A84)-2)</f>
        <v/>
      </c>
      <c r="B84" t="str">
        <f>IF('Sample Information'!C124="","",'Sample Information'!C124)</f>
        <v/>
      </c>
      <c r="D84" t="str">
        <f>IF('Sample Information'!E124="","",'Sample Information'!E124)</f>
        <v/>
      </c>
      <c r="E84" t="str">
        <f>IF('Sample Information'!F124="","",'Sample Information'!F124)</f>
        <v/>
      </c>
      <c r="F84" t="str">
        <f>IF('Sample Information'!G124="","",'Sample Information'!G124)</f>
        <v/>
      </c>
      <c r="G84" t="str">
        <f>IF('Sample Information'!H124="","",'Sample Information'!H124)</f>
        <v/>
      </c>
      <c r="I84" t="str">
        <f>IF('Sample Information'!J124="","",'Sample Information'!J124)</f>
        <v/>
      </c>
      <c r="K84" t="str">
        <f>IF('Sample Information'!L124="","",'Sample Information'!L124)</f>
        <v/>
      </c>
      <c r="L84" s="163">
        <f t="shared" si="6"/>
        <v>0</v>
      </c>
      <c r="M84" s="163">
        <f t="shared" si="7"/>
        <v>0</v>
      </c>
      <c r="N84" s="163">
        <f t="shared" si="8"/>
        <v>0</v>
      </c>
      <c r="O84" t="str">
        <f>SUBSTITUTE(StripChar(B84),"-","")</f>
        <v/>
      </c>
      <c r="P84" s="163">
        <f t="shared" si="9"/>
        <v>0</v>
      </c>
      <c r="Q84" s="163">
        <f t="shared" si="10"/>
        <v>0</v>
      </c>
      <c r="R84" t="str">
        <f t="shared" si="11"/>
        <v/>
      </c>
    </row>
    <row r="85" spans="1:18" x14ac:dyDescent="0.2">
      <c r="A85" t="str">
        <f>IF('Sample Information'!$A125="","",IF('Sample Information'!$L$9="","INIT",'Sample Information'!$L$9)&amp;ROW(A85)-2)</f>
        <v/>
      </c>
      <c r="B85" t="str">
        <f>IF('Sample Information'!C125="","",'Sample Information'!C125)</f>
        <v/>
      </c>
      <c r="D85" t="str">
        <f>IF('Sample Information'!E125="","",'Sample Information'!E125)</f>
        <v/>
      </c>
      <c r="E85" t="str">
        <f>IF('Sample Information'!F125="","",'Sample Information'!F125)</f>
        <v/>
      </c>
      <c r="F85" t="str">
        <f>IF('Sample Information'!G125="","",'Sample Information'!G125)</f>
        <v/>
      </c>
      <c r="G85" t="str">
        <f>IF('Sample Information'!H125="","",'Sample Information'!H125)</f>
        <v/>
      </c>
      <c r="I85" t="str">
        <f>IF('Sample Information'!J125="","",'Sample Information'!J125)</f>
        <v/>
      </c>
      <c r="K85" t="str">
        <f>IF('Sample Information'!L125="","",'Sample Information'!L125)</f>
        <v/>
      </c>
      <c r="L85" s="163">
        <f t="shared" si="6"/>
        <v>0</v>
      </c>
      <c r="M85" s="163">
        <f t="shared" si="7"/>
        <v>0</v>
      </c>
      <c r="N85" s="163">
        <f t="shared" si="8"/>
        <v>0</v>
      </c>
      <c r="O85" t="str">
        <f>SUBSTITUTE(StripChar(B85),"-","")</f>
        <v/>
      </c>
      <c r="P85" s="163">
        <f t="shared" si="9"/>
        <v>0</v>
      </c>
      <c r="Q85" s="163">
        <f t="shared" si="10"/>
        <v>0</v>
      </c>
      <c r="R85" t="str">
        <f t="shared" si="11"/>
        <v/>
      </c>
    </row>
    <row r="86" spans="1:18" x14ac:dyDescent="0.2">
      <c r="A86" t="str">
        <f>IF('Sample Information'!$A126="","",IF('Sample Information'!$L$9="","INIT",'Sample Information'!$L$9)&amp;ROW(A86)-2)</f>
        <v/>
      </c>
      <c r="B86" t="str">
        <f>IF('Sample Information'!C126="","",'Sample Information'!C126)</f>
        <v/>
      </c>
      <c r="D86" t="str">
        <f>IF('Sample Information'!E126="","",'Sample Information'!E126)</f>
        <v/>
      </c>
      <c r="E86" t="str">
        <f>IF('Sample Information'!F126="","",'Sample Information'!F126)</f>
        <v/>
      </c>
      <c r="F86" t="str">
        <f>IF('Sample Information'!G126="","",'Sample Information'!G126)</f>
        <v/>
      </c>
      <c r="G86" t="str">
        <f>IF('Sample Information'!H126="","",'Sample Information'!H126)</f>
        <v/>
      </c>
      <c r="I86" t="str">
        <f>IF('Sample Information'!J126="","",'Sample Information'!J126)</f>
        <v/>
      </c>
      <c r="K86" t="str">
        <f>IF('Sample Information'!L126="","",'Sample Information'!L126)</f>
        <v/>
      </c>
      <c r="L86" s="163">
        <f t="shared" si="6"/>
        <v>0</v>
      </c>
      <c r="M86" s="163">
        <f t="shared" si="7"/>
        <v>0</v>
      </c>
      <c r="N86" s="163">
        <f t="shared" si="8"/>
        <v>0</v>
      </c>
      <c r="O86" t="str">
        <f>SUBSTITUTE(StripChar(B86),"-","")</f>
        <v/>
      </c>
      <c r="P86" s="163">
        <f t="shared" si="9"/>
        <v>0</v>
      </c>
      <c r="Q86" s="163">
        <f t="shared" si="10"/>
        <v>0</v>
      </c>
      <c r="R86" t="str">
        <f t="shared" si="11"/>
        <v/>
      </c>
    </row>
    <row r="87" spans="1:18" x14ac:dyDescent="0.2">
      <c r="A87" t="str">
        <f>IF('Sample Information'!$A127="","",IF('Sample Information'!$L$9="","INIT",'Sample Information'!$L$9)&amp;ROW(A87)-2)</f>
        <v/>
      </c>
      <c r="B87" t="str">
        <f>IF('Sample Information'!C127="","",'Sample Information'!C127)</f>
        <v/>
      </c>
      <c r="D87" t="str">
        <f>IF('Sample Information'!E127="","",'Sample Information'!E127)</f>
        <v/>
      </c>
      <c r="E87" t="str">
        <f>IF('Sample Information'!F127="","",'Sample Information'!F127)</f>
        <v/>
      </c>
      <c r="F87" t="str">
        <f>IF('Sample Information'!G127="","",'Sample Information'!G127)</f>
        <v/>
      </c>
      <c r="G87" t="str">
        <f>IF('Sample Information'!H127="","",'Sample Information'!H127)</f>
        <v/>
      </c>
      <c r="I87" t="str">
        <f>IF('Sample Information'!J127="","",'Sample Information'!J127)</f>
        <v/>
      </c>
      <c r="K87" t="str">
        <f>IF('Sample Information'!L127="","",'Sample Information'!L127)</f>
        <v/>
      </c>
      <c r="L87" s="163">
        <f t="shared" si="6"/>
        <v>0</v>
      </c>
      <c r="M87" s="163">
        <f t="shared" si="7"/>
        <v>0</v>
      </c>
      <c r="N87" s="163">
        <f t="shared" si="8"/>
        <v>0</v>
      </c>
      <c r="O87" t="str">
        <f>SUBSTITUTE(StripChar(B87),"-","")</f>
        <v/>
      </c>
      <c r="P87" s="163">
        <f t="shared" si="9"/>
        <v>0</v>
      </c>
      <c r="Q87" s="163">
        <f t="shared" si="10"/>
        <v>0</v>
      </c>
      <c r="R87" t="str">
        <f t="shared" si="11"/>
        <v/>
      </c>
    </row>
    <row r="88" spans="1:18" x14ac:dyDescent="0.2">
      <c r="A88" t="str">
        <f>IF('Sample Information'!$A128="","",IF('Sample Information'!$L$9="","INIT",'Sample Information'!$L$9)&amp;ROW(A88)-2)</f>
        <v/>
      </c>
      <c r="B88" t="str">
        <f>IF('Sample Information'!C128="","",'Sample Information'!C128)</f>
        <v/>
      </c>
      <c r="D88" t="str">
        <f>IF('Sample Information'!E128="","",'Sample Information'!E128)</f>
        <v/>
      </c>
      <c r="E88" t="str">
        <f>IF('Sample Information'!F128="","",'Sample Information'!F128)</f>
        <v/>
      </c>
      <c r="F88" t="str">
        <f>IF('Sample Information'!G128="","",'Sample Information'!G128)</f>
        <v/>
      </c>
      <c r="G88" t="str">
        <f>IF('Sample Information'!H128="","",'Sample Information'!H128)</f>
        <v/>
      </c>
      <c r="I88" t="str">
        <f>IF('Sample Information'!J128="","",'Sample Information'!J128)</f>
        <v/>
      </c>
      <c r="K88" t="str">
        <f>IF('Sample Information'!L128="","",'Sample Information'!L128)</f>
        <v/>
      </c>
      <c r="L88" s="163">
        <f t="shared" si="6"/>
        <v>0</v>
      </c>
      <c r="M88" s="163">
        <f t="shared" si="7"/>
        <v>0</v>
      </c>
      <c r="N88" s="163">
        <f t="shared" si="8"/>
        <v>0</v>
      </c>
      <c r="O88" t="str">
        <f>SUBSTITUTE(StripChar(B88),"-","")</f>
        <v/>
      </c>
      <c r="P88" s="163">
        <f t="shared" si="9"/>
        <v>0</v>
      </c>
      <c r="Q88" s="163">
        <f t="shared" si="10"/>
        <v>0</v>
      </c>
      <c r="R88" t="str">
        <f t="shared" si="11"/>
        <v/>
      </c>
    </row>
    <row r="89" spans="1:18" x14ac:dyDescent="0.2">
      <c r="A89" t="str">
        <f>IF('Sample Information'!$A129="","",IF('Sample Information'!$L$9="","INIT",'Sample Information'!$L$9)&amp;ROW(A89)-2)</f>
        <v/>
      </c>
      <c r="B89" t="str">
        <f>IF('Sample Information'!C129="","",'Sample Information'!C129)</f>
        <v/>
      </c>
      <c r="D89" t="str">
        <f>IF('Sample Information'!E129="","",'Sample Information'!E129)</f>
        <v/>
      </c>
      <c r="E89" t="str">
        <f>IF('Sample Information'!F129="","",'Sample Information'!F129)</f>
        <v/>
      </c>
      <c r="F89" t="str">
        <f>IF('Sample Information'!G129="","",'Sample Information'!G129)</f>
        <v/>
      </c>
      <c r="G89" t="str">
        <f>IF('Sample Information'!H129="","",'Sample Information'!H129)</f>
        <v/>
      </c>
      <c r="I89" t="str">
        <f>IF('Sample Information'!J129="","",'Sample Information'!J129)</f>
        <v/>
      </c>
      <c r="K89" t="str">
        <f>IF('Sample Information'!L129="","",'Sample Information'!L129)</f>
        <v/>
      </c>
      <c r="L89" s="163">
        <f t="shared" si="6"/>
        <v>0</v>
      </c>
      <c r="M89" s="163">
        <f t="shared" si="7"/>
        <v>0</v>
      </c>
      <c r="N89" s="163">
        <f t="shared" si="8"/>
        <v>0</v>
      </c>
      <c r="O89" t="str">
        <f>SUBSTITUTE(StripChar(B89),"-","")</f>
        <v/>
      </c>
      <c r="P89" s="163">
        <f t="shared" si="9"/>
        <v>0</v>
      </c>
      <c r="Q89" s="163">
        <f t="shared" si="10"/>
        <v>0</v>
      </c>
      <c r="R89" t="str">
        <f t="shared" si="11"/>
        <v/>
      </c>
    </row>
    <row r="90" spans="1:18" x14ac:dyDescent="0.2">
      <c r="A90" t="str">
        <f>IF('Sample Information'!$A130="","",IF('Sample Information'!$L$9="","INIT",'Sample Information'!$L$9)&amp;ROW(A90)-2)</f>
        <v/>
      </c>
      <c r="B90" t="str">
        <f>IF('Sample Information'!C130="","",'Sample Information'!C130)</f>
        <v/>
      </c>
      <c r="D90" t="str">
        <f>IF('Sample Information'!E130="","",'Sample Information'!E130)</f>
        <v/>
      </c>
      <c r="E90" t="str">
        <f>IF('Sample Information'!F130="","",'Sample Information'!F130)</f>
        <v/>
      </c>
      <c r="F90" t="str">
        <f>IF('Sample Information'!G130="","",'Sample Information'!G130)</f>
        <v/>
      </c>
      <c r="G90" t="str">
        <f>IF('Sample Information'!H130="","",'Sample Information'!H130)</f>
        <v/>
      </c>
      <c r="I90" t="str">
        <f>IF('Sample Information'!J130="","",'Sample Information'!J130)</f>
        <v/>
      </c>
      <c r="K90" t="str">
        <f>IF('Sample Information'!L130="","",'Sample Information'!L130)</f>
        <v/>
      </c>
      <c r="L90" s="163">
        <f t="shared" si="6"/>
        <v>0</v>
      </c>
      <c r="M90" s="163">
        <f t="shared" si="7"/>
        <v>0</v>
      </c>
      <c r="N90" s="163">
        <f t="shared" si="8"/>
        <v>0</v>
      </c>
      <c r="O90" t="str">
        <f>SUBSTITUTE(StripChar(B90),"-","")</f>
        <v/>
      </c>
      <c r="P90" s="163">
        <f t="shared" si="9"/>
        <v>0</v>
      </c>
      <c r="Q90" s="163">
        <f t="shared" si="10"/>
        <v>0</v>
      </c>
      <c r="R90" t="str">
        <f t="shared" si="11"/>
        <v/>
      </c>
    </row>
    <row r="91" spans="1:18" x14ac:dyDescent="0.2">
      <c r="A91" t="str">
        <f>IF('Sample Information'!$A131="","",IF('Sample Information'!$L$9="","INIT",'Sample Information'!$L$9)&amp;ROW(A91)-2)</f>
        <v/>
      </c>
      <c r="B91" t="str">
        <f>IF('Sample Information'!C131="","",'Sample Information'!C131)</f>
        <v/>
      </c>
      <c r="D91" t="str">
        <f>IF('Sample Information'!E131="","",'Sample Information'!E131)</f>
        <v/>
      </c>
      <c r="E91" t="str">
        <f>IF('Sample Information'!F131="","",'Sample Information'!F131)</f>
        <v/>
      </c>
      <c r="F91" t="str">
        <f>IF('Sample Information'!G131="","",'Sample Information'!G131)</f>
        <v/>
      </c>
      <c r="G91" t="str">
        <f>IF('Sample Information'!H131="","",'Sample Information'!H131)</f>
        <v/>
      </c>
      <c r="I91" t="str">
        <f>IF('Sample Information'!J131="","",'Sample Information'!J131)</f>
        <v/>
      </c>
      <c r="K91" t="str">
        <f>IF('Sample Information'!L131="","",'Sample Information'!L131)</f>
        <v/>
      </c>
      <c r="L91" s="163">
        <f t="shared" si="6"/>
        <v>0</v>
      </c>
      <c r="M91" s="163">
        <f t="shared" si="7"/>
        <v>0</v>
      </c>
      <c r="N91" s="163">
        <f t="shared" si="8"/>
        <v>0</v>
      </c>
      <c r="O91" t="str">
        <f>SUBSTITUTE(StripChar(B91),"-","")</f>
        <v/>
      </c>
      <c r="P91" s="163">
        <f t="shared" si="9"/>
        <v>0</v>
      </c>
      <c r="Q91" s="163">
        <f t="shared" si="10"/>
        <v>0</v>
      </c>
      <c r="R91" t="str">
        <f t="shared" si="11"/>
        <v/>
      </c>
    </row>
    <row r="92" spans="1:18" x14ac:dyDescent="0.2">
      <c r="A92" t="str">
        <f>IF('Sample Information'!$A132="","",IF('Sample Information'!$L$9="","INIT",'Sample Information'!$L$9)&amp;ROW(A92)-2)</f>
        <v/>
      </c>
      <c r="B92" t="str">
        <f>IF('Sample Information'!C132="","",'Sample Information'!C132)</f>
        <v/>
      </c>
      <c r="D92" t="str">
        <f>IF('Sample Information'!E132="","",'Sample Information'!E132)</f>
        <v/>
      </c>
      <c r="E92" t="str">
        <f>IF('Sample Information'!F132="","",'Sample Information'!F132)</f>
        <v/>
      </c>
      <c r="F92" t="str">
        <f>IF('Sample Information'!G132="","",'Sample Information'!G132)</f>
        <v/>
      </c>
      <c r="G92" t="str">
        <f>IF('Sample Information'!H132="","",'Sample Information'!H132)</f>
        <v/>
      </c>
      <c r="I92" t="str">
        <f>IF('Sample Information'!J132="","",'Sample Information'!J132)</f>
        <v/>
      </c>
      <c r="K92" t="str">
        <f>IF('Sample Information'!L132="","",'Sample Information'!L132)</f>
        <v/>
      </c>
      <c r="L92" s="163">
        <f t="shared" si="6"/>
        <v>0</v>
      </c>
      <c r="M92" s="163">
        <f t="shared" si="7"/>
        <v>0</v>
      </c>
      <c r="N92" s="163">
        <f t="shared" si="8"/>
        <v>0</v>
      </c>
      <c r="O92" t="str">
        <f>SUBSTITUTE(StripChar(B92),"-","")</f>
        <v/>
      </c>
      <c r="P92" s="163">
        <f t="shared" si="9"/>
        <v>0</v>
      </c>
      <c r="Q92" s="163">
        <f t="shared" si="10"/>
        <v>0</v>
      </c>
      <c r="R92" t="str">
        <f t="shared" si="11"/>
        <v/>
      </c>
    </row>
    <row r="93" spans="1:18" x14ac:dyDescent="0.2">
      <c r="A93" t="str">
        <f>IF('Sample Information'!$A133="","",IF('Sample Information'!$L$9="","INIT",'Sample Information'!$L$9)&amp;ROW(A93)-2)</f>
        <v/>
      </c>
      <c r="B93" t="str">
        <f>IF('Sample Information'!C133="","",'Sample Information'!C133)</f>
        <v/>
      </c>
      <c r="D93" t="str">
        <f>IF('Sample Information'!E133="","",'Sample Information'!E133)</f>
        <v/>
      </c>
      <c r="E93" t="str">
        <f>IF('Sample Information'!F133="","",'Sample Information'!F133)</f>
        <v/>
      </c>
      <c r="F93" t="str">
        <f>IF('Sample Information'!G133="","",'Sample Information'!G133)</f>
        <v/>
      </c>
      <c r="G93" t="str">
        <f>IF('Sample Information'!H133="","",'Sample Information'!H133)</f>
        <v/>
      </c>
      <c r="I93" t="str">
        <f>IF('Sample Information'!J133="","",'Sample Information'!J133)</f>
        <v/>
      </c>
      <c r="K93" t="str">
        <f>IF('Sample Information'!L133="","",'Sample Information'!L133)</f>
        <v/>
      </c>
      <c r="L93" s="163">
        <f t="shared" si="6"/>
        <v>0</v>
      </c>
      <c r="M93" s="163">
        <f t="shared" si="7"/>
        <v>0</v>
      </c>
      <c r="N93" s="163">
        <f t="shared" si="8"/>
        <v>0</v>
      </c>
      <c r="O93" t="str">
        <f>SUBSTITUTE(StripChar(B93),"-","")</f>
        <v/>
      </c>
      <c r="P93" s="163">
        <f t="shared" si="9"/>
        <v>0</v>
      </c>
      <c r="Q93" s="163">
        <f t="shared" si="10"/>
        <v>0</v>
      </c>
      <c r="R93" t="str">
        <f t="shared" si="11"/>
        <v/>
      </c>
    </row>
    <row r="94" spans="1:18" x14ac:dyDescent="0.2">
      <c r="A94" t="str">
        <f>IF('Sample Information'!$A134="","",IF('Sample Information'!$L$9="","INIT",'Sample Information'!$L$9)&amp;ROW(A94)-2)</f>
        <v/>
      </c>
      <c r="B94" t="str">
        <f>IF('Sample Information'!C134="","",'Sample Information'!C134)</f>
        <v/>
      </c>
      <c r="D94" t="str">
        <f>IF('Sample Information'!E134="","",'Sample Information'!E134)</f>
        <v/>
      </c>
      <c r="E94" t="str">
        <f>IF('Sample Information'!F134="","",'Sample Information'!F134)</f>
        <v/>
      </c>
      <c r="F94" t="str">
        <f>IF('Sample Information'!G134="","",'Sample Information'!G134)</f>
        <v/>
      </c>
      <c r="G94" t="str">
        <f>IF('Sample Information'!H134="","",'Sample Information'!H134)</f>
        <v/>
      </c>
      <c r="I94" t="str">
        <f>IF('Sample Information'!J134="","",'Sample Information'!J134)</f>
        <v/>
      </c>
      <c r="K94" t="str">
        <f>IF('Sample Information'!L134="","",'Sample Information'!L134)</f>
        <v/>
      </c>
      <c r="L94" s="163">
        <f t="shared" si="6"/>
        <v>0</v>
      </c>
      <c r="M94" s="163">
        <f t="shared" si="7"/>
        <v>0</v>
      </c>
      <c r="N94" s="163">
        <f t="shared" si="8"/>
        <v>0</v>
      </c>
      <c r="O94" t="str">
        <f>SUBSTITUTE(StripChar(B94),"-","")</f>
        <v/>
      </c>
      <c r="P94" s="163">
        <f t="shared" si="9"/>
        <v>0</v>
      </c>
      <c r="Q94" s="163">
        <f t="shared" si="10"/>
        <v>0</v>
      </c>
      <c r="R94" t="str">
        <f t="shared" si="11"/>
        <v/>
      </c>
    </row>
    <row r="95" spans="1:18" x14ac:dyDescent="0.2">
      <c r="A95" t="str">
        <f>IF('Sample Information'!$A135="","",IF('Sample Information'!$L$9="","INIT",'Sample Information'!$L$9)&amp;ROW(A95)-2)</f>
        <v/>
      </c>
      <c r="B95" t="str">
        <f>IF('Sample Information'!C135="","",'Sample Information'!C135)</f>
        <v/>
      </c>
      <c r="D95" t="str">
        <f>IF('Sample Information'!E135="","",'Sample Information'!E135)</f>
        <v/>
      </c>
      <c r="E95" t="str">
        <f>IF('Sample Information'!F135="","",'Sample Information'!F135)</f>
        <v/>
      </c>
      <c r="F95" t="str">
        <f>IF('Sample Information'!G135="","",'Sample Information'!G135)</f>
        <v/>
      </c>
      <c r="G95" t="str">
        <f>IF('Sample Information'!H135="","",'Sample Information'!H135)</f>
        <v/>
      </c>
      <c r="I95" t="str">
        <f>IF('Sample Information'!J135="","",'Sample Information'!J135)</f>
        <v/>
      </c>
      <c r="K95" t="str">
        <f>IF('Sample Information'!L135="","",'Sample Information'!L135)</f>
        <v/>
      </c>
      <c r="L95" s="163">
        <f t="shared" si="6"/>
        <v>0</v>
      </c>
      <c r="M95" s="163">
        <f t="shared" si="7"/>
        <v>0</v>
      </c>
      <c r="N95" s="163">
        <f t="shared" si="8"/>
        <v>0</v>
      </c>
      <c r="O95" t="str">
        <f>SUBSTITUTE(StripChar(B95),"-","")</f>
        <v/>
      </c>
      <c r="P95" s="163">
        <f t="shared" si="9"/>
        <v>0</v>
      </c>
      <c r="Q95" s="163">
        <f t="shared" si="10"/>
        <v>0</v>
      </c>
      <c r="R95" t="str">
        <f t="shared" si="11"/>
        <v/>
      </c>
    </row>
    <row r="96" spans="1:18" x14ac:dyDescent="0.2">
      <c r="A96" t="str">
        <f>IF('Sample Information'!$A136="","",IF('Sample Information'!$L$9="","INIT",'Sample Information'!$L$9)&amp;ROW(A96)-2)</f>
        <v/>
      </c>
      <c r="B96" t="str">
        <f>IF('Sample Information'!C136="","",'Sample Information'!C136)</f>
        <v/>
      </c>
      <c r="D96" t="str">
        <f>IF('Sample Information'!E136="","",'Sample Information'!E136)</f>
        <v/>
      </c>
      <c r="E96" t="str">
        <f>IF('Sample Information'!F136="","",'Sample Information'!F136)</f>
        <v/>
      </c>
      <c r="F96" t="str">
        <f>IF('Sample Information'!G136="","",'Sample Information'!G136)</f>
        <v/>
      </c>
      <c r="G96" t="str">
        <f>IF('Sample Information'!H136="","",'Sample Information'!H136)</f>
        <v/>
      </c>
      <c r="I96" t="str">
        <f>IF('Sample Information'!J136="","",'Sample Information'!J136)</f>
        <v/>
      </c>
      <c r="K96" t="str">
        <f>IF('Sample Information'!L136="","",'Sample Information'!L136)</f>
        <v/>
      </c>
      <c r="L96" s="163">
        <f t="shared" si="6"/>
        <v>0</v>
      </c>
      <c r="M96" s="163">
        <f t="shared" si="7"/>
        <v>0</v>
      </c>
      <c r="N96" s="163">
        <f t="shared" si="8"/>
        <v>0</v>
      </c>
      <c r="O96" t="str">
        <f>SUBSTITUTE(StripChar(B96),"-","")</f>
        <v/>
      </c>
      <c r="P96" s="163">
        <f t="shared" si="9"/>
        <v>0</v>
      </c>
      <c r="Q96" s="163">
        <f t="shared" si="10"/>
        <v>0</v>
      </c>
      <c r="R96" t="str">
        <f t="shared" si="11"/>
        <v/>
      </c>
    </row>
    <row r="97" spans="1:18" x14ac:dyDescent="0.2">
      <c r="A97" t="str">
        <f>IF('Sample Information'!$A137="","",IF('Sample Information'!$L$9="","INIT",'Sample Information'!$L$9)&amp;ROW(A97)-2)</f>
        <v/>
      </c>
      <c r="B97" t="str">
        <f>IF('Sample Information'!C137="","",'Sample Information'!C137)</f>
        <v/>
      </c>
      <c r="D97" t="str">
        <f>IF('Sample Information'!E137="","",'Sample Information'!E137)</f>
        <v/>
      </c>
      <c r="E97" t="str">
        <f>IF('Sample Information'!F137="","",'Sample Information'!F137)</f>
        <v/>
      </c>
      <c r="F97" t="str">
        <f>IF('Sample Information'!G137="","",'Sample Information'!G137)</f>
        <v/>
      </c>
      <c r="G97" t="str">
        <f>IF('Sample Information'!H137="","",'Sample Information'!H137)</f>
        <v/>
      </c>
      <c r="I97" t="str">
        <f>IF('Sample Information'!J137="","",'Sample Information'!J137)</f>
        <v/>
      </c>
      <c r="K97" t="str">
        <f>IF('Sample Information'!L137="","",'Sample Information'!L137)</f>
        <v/>
      </c>
      <c r="L97" s="163">
        <f t="shared" si="6"/>
        <v>0</v>
      </c>
      <c r="M97" s="163">
        <f t="shared" si="7"/>
        <v>0</v>
      </c>
      <c r="N97" s="163">
        <f t="shared" si="8"/>
        <v>0</v>
      </c>
      <c r="O97" t="str">
        <f>SUBSTITUTE(StripChar(B97),"-","")</f>
        <v/>
      </c>
      <c r="P97" s="163">
        <f t="shared" si="9"/>
        <v>0</v>
      </c>
      <c r="Q97" s="163">
        <f t="shared" si="10"/>
        <v>0</v>
      </c>
      <c r="R97" t="str">
        <f t="shared" si="11"/>
        <v/>
      </c>
    </row>
    <row r="98" spans="1:18" x14ac:dyDescent="0.2">
      <c r="A98" t="str">
        <f>IF('Sample Information'!$A138="","",IF('Sample Information'!$L$9="","INIT",'Sample Information'!$L$9)&amp;ROW(A98)-2)</f>
        <v/>
      </c>
      <c r="B98" t="str">
        <f>IF('Sample Information'!C138="","",'Sample Information'!C138)</f>
        <v/>
      </c>
      <c r="D98" t="str">
        <f>IF('Sample Information'!E138="","",'Sample Information'!E138)</f>
        <v/>
      </c>
      <c r="E98" t="str">
        <f>IF('Sample Information'!F138="","",'Sample Information'!F138)</f>
        <v/>
      </c>
      <c r="F98" t="str">
        <f>IF('Sample Information'!G138="","",'Sample Information'!G138)</f>
        <v/>
      </c>
      <c r="G98" t="str">
        <f>IF('Sample Information'!H138="","",'Sample Information'!H138)</f>
        <v/>
      </c>
      <c r="I98" t="str">
        <f>IF('Sample Information'!J138="","",'Sample Information'!J138)</f>
        <v/>
      </c>
      <c r="K98" t="str">
        <f>IF('Sample Information'!L138="","",'Sample Information'!L138)</f>
        <v/>
      </c>
      <c r="L98" s="163">
        <f t="shared" si="6"/>
        <v>0</v>
      </c>
      <c r="M98" s="163">
        <f t="shared" si="7"/>
        <v>0</v>
      </c>
      <c r="N98" s="163">
        <f t="shared" si="8"/>
        <v>0</v>
      </c>
      <c r="O98" t="str">
        <f>SUBSTITUTE(StripChar(B98),"-","")</f>
        <v/>
      </c>
      <c r="P98" s="163">
        <f t="shared" si="9"/>
        <v>0</v>
      </c>
      <c r="Q98" s="163">
        <f t="shared" si="10"/>
        <v>0</v>
      </c>
      <c r="R98" t="str">
        <f t="shared" si="11"/>
        <v/>
      </c>
    </row>
    <row r="99" spans="1:18" x14ac:dyDescent="0.2">
      <c r="A99" t="str">
        <f>IF('Sample Information'!$A139="","",IF('Sample Information'!$L$9="","INIT",'Sample Information'!$L$9)&amp;ROW(A99)-2)</f>
        <v/>
      </c>
      <c r="B99" t="str">
        <f>IF('Sample Information'!C139="","",'Sample Information'!C139)</f>
        <v/>
      </c>
      <c r="D99" t="str">
        <f>IF('Sample Information'!E139="","",'Sample Information'!E139)</f>
        <v/>
      </c>
      <c r="E99" t="str">
        <f>IF('Sample Information'!F139="","",'Sample Information'!F139)</f>
        <v/>
      </c>
      <c r="F99" t="str">
        <f>IF('Sample Information'!G139="","",'Sample Information'!G139)</f>
        <v/>
      </c>
      <c r="G99" t="str">
        <f>IF('Sample Information'!H139="","",'Sample Information'!H139)</f>
        <v/>
      </c>
      <c r="I99" t="str">
        <f>IF('Sample Information'!J139="","",'Sample Information'!J139)</f>
        <v/>
      </c>
      <c r="K99" t="str">
        <f>IF('Sample Information'!L139="","",'Sample Information'!L139)</f>
        <v/>
      </c>
      <c r="L99" s="163">
        <f t="shared" si="6"/>
        <v>0</v>
      </c>
      <c r="M99" s="163">
        <f t="shared" si="7"/>
        <v>0</v>
      </c>
      <c r="N99" s="163">
        <f t="shared" si="8"/>
        <v>0</v>
      </c>
      <c r="O99" t="str">
        <f>SUBSTITUTE(StripChar(B99),"-","")</f>
        <v/>
      </c>
      <c r="P99" s="163">
        <f t="shared" si="9"/>
        <v>0</v>
      </c>
      <c r="Q99" s="163">
        <f t="shared" si="10"/>
        <v>0</v>
      </c>
      <c r="R99" t="str">
        <f t="shared" si="11"/>
        <v/>
      </c>
    </row>
    <row r="100" spans="1:18" x14ac:dyDescent="0.2">
      <c r="A100" t="str">
        <f>IF('Sample Information'!$A140="","",IF('Sample Information'!$L$9="","INIT",'Sample Information'!$L$9)&amp;ROW(A100)-2)</f>
        <v/>
      </c>
      <c r="B100" t="str">
        <f>IF('Sample Information'!C140="","",'Sample Information'!C140)</f>
        <v/>
      </c>
      <c r="D100" t="str">
        <f>IF('Sample Information'!E140="","",'Sample Information'!E140)</f>
        <v/>
      </c>
      <c r="E100" t="str">
        <f>IF('Sample Information'!F140="","",'Sample Information'!F140)</f>
        <v/>
      </c>
      <c r="F100" t="str">
        <f>IF('Sample Information'!G140="","",'Sample Information'!G140)</f>
        <v/>
      </c>
      <c r="G100" t="str">
        <f>IF('Sample Information'!H140="","",'Sample Information'!H140)</f>
        <v/>
      </c>
      <c r="I100" t="str">
        <f>IF('Sample Information'!J140="","",'Sample Information'!J140)</f>
        <v/>
      </c>
      <c r="K100" t="str">
        <f>IF('Sample Information'!L140="","",'Sample Information'!L140)</f>
        <v/>
      </c>
      <c r="L100" s="163">
        <f t="shared" si="6"/>
        <v>0</v>
      </c>
      <c r="M100" s="163">
        <f t="shared" si="7"/>
        <v>0</v>
      </c>
      <c r="N100" s="163">
        <f t="shared" si="8"/>
        <v>0</v>
      </c>
      <c r="O100" t="str">
        <f>SUBSTITUTE(StripChar(B100),"-","")</f>
        <v/>
      </c>
      <c r="P100" s="163">
        <f t="shared" si="9"/>
        <v>0</v>
      </c>
      <c r="Q100" s="163">
        <f t="shared" si="10"/>
        <v>0</v>
      </c>
      <c r="R100" t="str">
        <f t="shared" si="11"/>
        <v/>
      </c>
    </row>
    <row r="101" spans="1:18" x14ac:dyDescent="0.2">
      <c r="A101" t="str">
        <f>IF('Sample Information'!$A141="","",IF('Sample Information'!$L$9="","INIT",'Sample Information'!$L$9)&amp;ROW(A101)-2)</f>
        <v/>
      </c>
      <c r="B101" t="str">
        <f>IF('Sample Information'!C141="","",'Sample Information'!C141)</f>
        <v/>
      </c>
      <c r="D101" t="str">
        <f>IF('Sample Information'!E141="","",'Sample Information'!E141)</f>
        <v/>
      </c>
      <c r="E101" t="str">
        <f>IF('Sample Information'!F141="","",'Sample Information'!F141)</f>
        <v/>
      </c>
      <c r="F101" t="str">
        <f>IF('Sample Information'!G141="","",'Sample Information'!G141)</f>
        <v/>
      </c>
      <c r="G101" t="str">
        <f>IF('Sample Information'!H141="","",'Sample Information'!H141)</f>
        <v/>
      </c>
      <c r="I101" t="str">
        <f>IF('Sample Information'!J141="","",'Sample Information'!J141)</f>
        <v/>
      </c>
      <c r="K101" t="str">
        <f>IF('Sample Information'!L141="","",'Sample Information'!L141)</f>
        <v/>
      </c>
      <c r="L101" s="163">
        <f t="shared" si="6"/>
        <v>0</v>
      </c>
      <c r="M101" s="163">
        <f t="shared" si="7"/>
        <v>0</v>
      </c>
      <c r="N101" s="163">
        <f t="shared" si="8"/>
        <v>0</v>
      </c>
      <c r="O101" t="str">
        <f>SUBSTITUTE(StripChar(B101),"-","")</f>
        <v/>
      </c>
      <c r="P101" s="163">
        <f t="shared" si="9"/>
        <v>0</v>
      </c>
      <c r="Q101" s="163">
        <f t="shared" si="10"/>
        <v>0</v>
      </c>
      <c r="R101" t="str">
        <f t="shared" si="11"/>
        <v/>
      </c>
    </row>
    <row r="102" spans="1:18" x14ac:dyDescent="0.2">
      <c r="A102" t="str">
        <f>IF('Sample Information'!$A142="","",IF('Sample Information'!$L$9="","INIT",'Sample Information'!$L$9)&amp;ROW(A102)-2)</f>
        <v/>
      </c>
      <c r="B102" t="str">
        <f>IF('Sample Information'!C142="","",'Sample Information'!C142)</f>
        <v/>
      </c>
      <c r="D102" t="str">
        <f>IF('Sample Information'!E142="","",'Sample Information'!E142)</f>
        <v/>
      </c>
      <c r="E102" t="str">
        <f>IF('Sample Information'!F142="","",'Sample Information'!F142)</f>
        <v/>
      </c>
      <c r="F102" t="str">
        <f>IF('Sample Information'!G142="","",'Sample Information'!G142)</f>
        <v/>
      </c>
      <c r="G102" t="str">
        <f>IF('Sample Information'!H142="","",'Sample Information'!H142)</f>
        <v/>
      </c>
      <c r="I102" t="str">
        <f>IF('Sample Information'!J142="","",'Sample Information'!J142)</f>
        <v/>
      </c>
      <c r="K102" t="str">
        <f>IF('Sample Information'!L142="","",'Sample Information'!L142)</f>
        <v/>
      </c>
      <c r="L102" s="163">
        <f t="shared" si="6"/>
        <v>0</v>
      </c>
      <c r="M102" s="163">
        <f t="shared" si="7"/>
        <v>0</v>
      </c>
      <c r="N102" s="163">
        <f t="shared" si="8"/>
        <v>0</v>
      </c>
      <c r="O102" t="str">
        <f>SUBSTITUTE(StripChar(B102),"-","")</f>
        <v/>
      </c>
      <c r="P102" s="163">
        <f t="shared" si="9"/>
        <v>0</v>
      </c>
      <c r="Q102" s="163">
        <f t="shared" si="10"/>
        <v>0</v>
      </c>
      <c r="R102" t="str">
        <f t="shared" si="11"/>
        <v/>
      </c>
    </row>
    <row r="103" spans="1:18" x14ac:dyDescent="0.2">
      <c r="A103" t="str">
        <f>IF('Sample Information'!$A143="","",IF('Sample Information'!$L$9="","INIT",'Sample Information'!$L$9)&amp;ROW(A103)-2)</f>
        <v/>
      </c>
      <c r="B103" t="str">
        <f>IF('Sample Information'!C143="","",'Sample Information'!C143)</f>
        <v/>
      </c>
      <c r="D103" t="str">
        <f>IF('Sample Information'!E143="","",'Sample Information'!E143)</f>
        <v/>
      </c>
      <c r="E103" t="str">
        <f>IF('Sample Information'!F143="","",'Sample Information'!F143)</f>
        <v/>
      </c>
      <c r="F103" t="str">
        <f>IF('Sample Information'!G143="","",'Sample Information'!G143)</f>
        <v/>
      </c>
      <c r="G103" t="str">
        <f>IF('Sample Information'!H143="","",'Sample Information'!H143)</f>
        <v/>
      </c>
      <c r="I103" t="str">
        <f>IF('Sample Information'!J143="","",'Sample Information'!J143)</f>
        <v/>
      </c>
      <c r="K103" t="str">
        <f>IF('Sample Information'!L143="","",'Sample Information'!L143)</f>
        <v/>
      </c>
      <c r="L103" s="163">
        <f t="shared" si="6"/>
        <v>0</v>
      </c>
      <c r="M103" s="163">
        <f t="shared" si="7"/>
        <v>0</v>
      </c>
      <c r="N103" s="163">
        <f t="shared" si="8"/>
        <v>0</v>
      </c>
      <c r="O103" t="str">
        <f>SUBSTITUTE(StripChar(B103),"-","")</f>
        <v/>
      </c>
      <c r="P103" s="163">
        <f t="shared" si="9"/>
        <v>0</v>
      </c>
      <c r="Q103" s="163">
        <f t="shared" si="10"/>
        <v>0</v>
      </c>
      <c r="R103" t="str">
        <f t="shared" si="11"/>
        <v/>
      </c>
    </row>
    <row r="104" spans="1:18" x14ac:dyDescent="0.2">
      <c r="A104" t="str">
        <f>IF('Sample Information'!$A144="","",IF('Sample Information'!$L$9="","INIT",'Sample Information'!$L$9)&amp;ROW(A104)-2)</f>
        <v/>
      </c>
      <c r="B104" t="str">
        <f>IF('Sample Information'!C144="","",'Sample Information'!C144)</f>
        <v/>
      </c>
      <c r="D104" t="str">
        <f>IF('Sample Information'!E144="","",'Sample Information'!E144)</f>
        <v/>
      </c>
      <c r="E104" t="str">
        <f>IF('Sample Information'!F144="","",'Sample Information'!F144)</f>
        <v/>
      </c>
      <c r="F104" t="str">
        <f>IF('Sample Information'!G144="","",'Sample Information'!G144)</f>
        <v/>
      </c>
      <c r="G104" t="str">
        <f>IF('Sample Information'!H144="","",'Sample Information'!H144)</f>
        <v/>
      </c>
      <c r="I104" t="str">
        <f>IF('Sample Information'!J144="","",'Sample Information'!J144)</f>
        <v/>
      </c>
      <c r="K104" t="str">
        <f>IF('Sample Information'!L144="","",'Sample Information'!L144)</f>
        <v/>
      </c>
      <c r="L104" s="163">
        <f t="shared" si="6"/>
        <v>0</v>
      </c>
      <c r="M104" s="163">
        <f t="shared" si="7"/>
        <v>0</v>
      </c>
      <c r="N104" s="163">
        <f t="shared" si="8"/>
        <v>0</v>
      </c>
      <c r="O104" t="str">
        <f>SUBSTITUTE(StripChar(B104),"-","")</f>
        <v/>
      </c>
      <c r="P104" s="163">
        <f t="shared" si="9"/>
        <v>0</v>
      </c>
      <c r="Q104" s="163">
        <f t="shared" si="10"/>
        <v>0</v>
      </c>
      <c r="R104" t="str">
        <f t="shared" si="11"/>
        <v/>
      </c>
    </row>
    <row r="105" spans="1:18" x14ac:dyDescent="0.2">
      <c r="A105" t="str">
        <f>IF('Sample Information'!$A145="","",IF('Sample Information'!$L$9="","INIT",'Sample Information'!$L$9)&amp;ROW(A105)-2)</f>
        <v/>
      </c>
      <c r="B105" t="str">
        <f>IF('Sample Information'!C145="","",'Sample Information'!C145)</f>
        <v/>
      </c>
      <c r="D105" t="str">
        <f>IF('Sample Information'!E145="","",'Sample Information'!E145)</f>
        <v/>
      </c>
      <c r="E105" t="str">
        <f>IF('Sample Information'!F145="","",'Sample Information'!F145)</f>
        <v/>
      </c>
      <c r="F105" t="str">
        <f>IF('Sample Information'!G145="","",'Sample Information'!G145)</f>
        <v/>
      </c>
      <c r="G105" t="str">
        <f>IF('Sample Information'!H145="","",'Sample Information'!H145)</f>
        <v/>
      </c>
      <c r="I105" t="str">
        <f>IF('Sample Information'!J145="","",'Sample Information'!J145)</f>
        <v/>
      </c>
      <c r="K105" t="str">
        <f>IF('Sample Information'!L145="","",'Sample Information'!L145)</f>
        <v/>
      </c>
      <c r="L105" s="163">
        <f t="shared" si="6"/>
        <v>0</v>
      </c>
      <c r="M105" s="163">
        <f t="shared" si="7"/>
        <v>0</v>
      </c>
      <c r="N105" s="163">
        <f t="shared" si="8"/>
        <v>0</v>
      </c>
      <c r="O105" t="str">
        <f>SUBSTITUTE(StripChar(B105),"-","")</f>
        <v/>
      </c>
      <c r="P105" s="163">
        <f t="shared" si="9"/>
        <v>0</v>
      </c>
      <c r="Q105" s="163">
        <f t="shared" si="10"/>
        <v>0</v>
      </c>
      <c r="R105" t="str">
        <f t="shared" si="11"/>
        <v/>
      </c>
    </row>
    <row r="106" spans="1:18" x14ac:dyDescent="0.2">
      <c r="A106" t="str">
        <f>IF('Sample Information'!$A146="","",IF('Sample Information'!$L$9="","INIT",'Sample Information'!$L$9)&amp;ROW(A106)-2)</f>
        <v/>
      </c>
      <c r="B106" t="str">
        <f>IF('Sample Information'!C146="","",'Sample Information'!C146)</f>
        <v/>
      </c>
      <c r="D106" t="str">
        <f>IF('Sample Information'!E146="","",'Sample Information'!E146)</f>
        <v/>
      </c>
      <c r="E106" t="str">
        <f>IF('Sample Information'!F146="","",'Sample Information'!F146)</f>
        <v/>
      </c>
      <c r="F106" t="str">
        <f>IF('Sample Information'!G146="","",'Sample Information'!G146)</f>
        <v/>
      </c>
      <c r="G106" t="str">
        <f>IF('Sample Information'!H146="","",'Sample Information'!H146)</f>
        <v/>
      </c>
      <c r="I106" t="str">
        <f>IF('Sample Information'!J146="","",'Sample Information'!J146)</f>
        <v/>
      </c>
      <c r="K106" t="str">
        <f>IF('Sample Information'!L146="","",'Sample Information'!L146)</f>
        <v/>
      </c>
      <c r="L106" s="163">
        <f t="shared" si="6"/>
        <v>0</v>
      </c>
      <c r="M106" s="163">
        <f t="shared" si="7"/>
        <v>0</v>
      </c>
      <c r="N106" s="163">
        <f t="shared" si="8"/>
        <v>0</v>
      </c>
      <c r="O106" t="str">
        <f>SUBSTITUTE(StripChar(B106),"-","")</f>
        <v/>
      </c>
      <c r="P106" s="163">
        <f t="shared" si="9"/>
        <v>0</v>
      </c>
      <c r="Q106" s="163">
        <f t="shared" si="10"/>
        <v>0</v>
      </c>
      <c r="R106" t="str">
        <f t="shared" si="11"/>
        <v/>
      </c>
    </row>
    <row r="107" spans="1:18" x14ac:dyDescent="0.2">
      <c r="A107" t="str">
        <f>IF('Sample Information'!$A147="","",IF('Sample Information'!$L$9="","INIT",'Sample Information'!$L$9)&amp;ROW(A107)-2)</f>
        <v/>
      </c>
      <c r="B107" t="str">
        <f>IF('Sample Information'!C147="","",'Sample Information'!C147)</f>
        <v/>
      </c>
      <c r="D107" t="str">
        <f>IF('Sample Information'!E147="","",'Sample Information'!E147)</f>
        <v/>
      </c>
      <c r="E107" t="str">
        <f>IF('Sample Information'!F147="","",'Sample Information'!F147)</f>
        <v/>
      </c>
      <c r="F107" t="str">
        <f>IF('Sample Information'!G147="","",'Sample Information'!G147)</f>
        <v/>
      </c>
      <c r="G107" t="str">
        <f>IF('Sample Information'!H147="","",'Sample Information'!H147)</f>
        <v/>
      </c>
      <c r="I107" t="str">
        <f>IF('Sample Information'!J147="","",'Sample Information'!J147)</f>
        <v/>
      </c>
      <c r="K107" t="str">
        <f>IF('Sample Information'!L147="","",'Sample Information'!L147)</f>
        <v/>
      </c>
      <c r="L107" s="163">
        <f t="shared" si="6"/>
        <v>0</v>
      </c>
      <c r="M107" s="163">
        <f t="shared" si="7"/>
        <v>0</v>
      </c>
      <c r="N107" s="163">
        <f t="shared" si="8"/>
        <v>0</v>
      </c>
      <c r="O107" t="str">
        <f>SUBSTITUTE(StripChar(B107),"-","")</f>
        <v/>
      </c>
      <c r="P107" s="163">
        <f t="shared" si="9"/>
        <v>0</v>
      </c>
      <c r="Q107" s="163">
        <f t="shared" si="10"/>
        <v>0</v>
      </c>
      <c r="R107" t="str">
        <f t="shared" si="11"/>
        <v/>
      </c>
    </row>
    <row r="108" spans="1:18" x14ac:dyDescent="0.2">
      <c r="A108" t="str">
        <f>IF('Sample Information'!$A148="","",IF('Sample Information'!$L$9="","INIT",'Sample Information'!$L$9)&amp;ROW(A108)-2)</f>
        <v/>
      </c>
      <c r="B108" t="str">
        <f>IF('Sample Information'!C148="","",'Sample Information'!C148)</f>
        <v/>
      </c>
      <c r="D108" t="str">
        <f>IF('Sample Information'!E148="","",'Sample Information'!E148)</f>
        <v/>
      </c>
      <c r="E108" t="str">
        <f>IF('Sample Information'!F148="","",'Sample Information'!F148)</f>
        <v/>
      </c>
      <c r="F108" t="str">
        <f>IF('Sample Information'!G148="","",'Sample Information'!G148)</f>
        <v/>
      </c>
      <c r="G108" t="str">
        <f>IF('Sample Information'!H148="","",'Sample Information'!H148)</f>
        <v/>
      </c>
      <c r="I108" t="str">
        <f>IF('Sample Information'!J148="","",'Sample Information'!J148)</f>
        <v/>
      </c>
      <c r="K108" t="str">
        <f>IF('Sample Information'!L148="","",'Sample Information'!L148)</f>
        <v/>
      </c>
      <c r="L108" s="163">
        <f t="shared" si="6"/>
        <v>0</v>
      </c>
      <c r="M108" s="163">
        <f t="shared" si="7"/>
        <v>0</v>
      </c>
      <c r="N108" s="163">
        <f t="shared" si="8"/>
        <v>0</v>
      </c>
      <c r="O108" t="str">
        <f>SUBSTITUTE(StripChar(B108),"-","")</f>
        <v/>
      </c>
      <c r="P108" s="163">
        <f t="shared" si="9"/>
        <v>0</v>
      </c>
      <c r="Q108" s="163">
        <f t="shared" si="10"/>
        <v>0</v>
      </c>
      <c r="R108" t="str">
        <f t="shared" si="11"/>
        <v/>
      </c>
    </row>
    <row r="109" spans="1:18" x14ac:dyDescent="0.2">
      <c r="A109" t="str">
        <f>IF('Sample Information'!$A149="","",IF('Sample Information'!$L$9="","INIT",'Sample Information'!$L$9)&amp;ROW(A109)-2)</f>
        <v/>
      </c>
      <c r="B109" t="str">
        <f>IF('Sample Information'!C149="","",'Sample Information'!C149)</f>
        <v/>
      </c>
      <c r="D109" t="str">
        <f>IF('Sample Information'!E149="","",'Sample Information'!E149)</f>
        <v/>
      </c>
      <c r="E109" t="str">
        <f>IF('Sample Information'!F149="","",'Sample Information'!F149)</f>
        <v/>
      </c>
      <c r="F109" t="str">
        <f>IF('Sample Information'!G149="","",'Sample Information'!G149)</f>
        <v/>
      </c>
      <c r="G109" t="str">
        <f>IF('Sample Information'!H149="","",'Sample Information'!H149)</f>
        <v/>
      </c>
      <c r="I109" t="str">
        <f>IF('Sample Information'!J149="","",'Sample Information'!J149)</f>
        <v/>
      </c>
      <c r="K109" t="str">
        <f>IF('Sample Information'!L149="","",'Sample Information'!L149)</f>
        <v/>
      </c>
      <c r="L109" s="163">
        <f t="shared" si="6"/>
        <v>0</v>
      </c>
      <c r="M109" s="163">
        <f t="shared" si="7"/>
        <v>0</v>
      </c>
      <c r="N109" s="163">
        <f t="shared" si="8"/>
        <v>0</v>
      </c>
      <c r="O109" t="str">
        <f>SUBSTITUTE(StripChar(B109),"-","")</f>
        <v/>
      </c>
      <c r="P109" s="163">
        <f t="shared" si="9"/>
        <v>0</v>
      </c>
      <c r="Q109" s="163">
        <f t="shared" si="10"/>
        <v>0</v>
      </c>
      <c r="R109" t="str">
        <f t="shared" si="11"/>
        <v/>
      </c>
    </row>
    <row r="110" spans="1:18" x14ac:dyDescent="0.2">
      <c r="A110" t="str">
        <f>IF('Sample Information'!$A150="","",IF('Sample Information'!$L$9="","INIT",'Sample Information'!$L$9)&amp;ROW(A110)-2)</f>
        <v/>
      </c>
      <c r="B110" t="str">
        <f>IF('Sample Information'!C150="","",'Sample Information'!C150)</f>
        <v/>
      </c>
      <c r="D110" t="str">
        <f>IF('Sample Information'!E150="","",'Sample Information'!E150)</f>
        <v/>
      </c>
      <c r="E110" t="str">
        <f>IF('Sample Information'!F150="","",'Sample Information'!F150)</f>
        <v/>
      </c>
      <c r="F110" t="str">
        <f>IF('Sample Information'!G150="","",'Sample Information'!G150)</f>
        <v/>
      </c>
      <c r="G110" t="str">
        <f>IF('Sample Information'!H150="","",'Sample Information'!H150)</f>
        <v/>
      </c>
      <c r="I110" t="str">
        <f>IF('Sample Information'!J150="","",'Sample Information'!J150)</f>
        <v/>
      </c>
      <c r="K110" t="str">
        <f>IF('Sample Information'!L150="","",'Sample Information'!L150)</f>
        <v/>
      </c>
      <c r="L110" s="163">
        <f t="shared" si="6"/>
        <v>0</v>
      </c>
      <c r="M110" s="163">
        <f t="shared" si="7"/>
        <v>0</v>
      </c>
      <c r="N110" s="163">
        <f t="shared" si="8"/>
        <v>0</v>
      </c>
      <c r="O110" t="str">
        <f>SUBSTITUTE(StripChar(B110),"-","")</f>
        <v/>
      </c>
      <c r="P110" s="163">
        <f t="shared" si="9"/>
        <v>0</v>
      </c>
      <c r="Q110" s="163">
        <f t="shared" si="10"/>
        <v>0</v>
      </c>
      <c r="R110" t="str">
        <f t="shared" si="11"/>
        <v/>
      </c>
    </row>
    <row r="111" spans="1:18" x14ac:dyDescent="0.2">
      <c r="A111" t="str">
        <f>IF('Sample Information'!$A151="","",IF('Sample Information'!$L$9="","INIT",'Sample Information'!$L$9)&amp;ROW(A111)-2)</f>
        <v/>
      </c>
      <c r="B111" t="str">
        <f>IF('Sample Information'!C151="","",'Sample Information'!C151)</f>
        <v/>
      </c>
      <c r="D111" t="str">
        <f>IF('Sample Information'!E151="","",'Sample Information'!E151)</f>
        <v/>
      </c>
      <c r="E111" t="str">
        <f>IF('Sample Information'!F151="","",'Sample Information'!F151)</f>
        <v/>
      </c>
      <c r="F111" t="str">
        <f>IF('Sample Information'!G151="","",'Sample Information'!G151)</f>
        <v/>
      </c>
      <c r="G111" t="str">
        <f>IF('Sample Information'!H151="","",'Sample Information'!H151)</f>
        <v/>
      </c>
      <c r="I111" t="str">
        <f>IF('Sample Information'!J151="","",'Sample Information'!J151)</f>
        <v/>
      </c>
      <c r="K111" t="str">
        <f>IF('Sample Information'!L151="","",'Sample Information'!L151)</f>
        <v/>
      </c>
      <c r="L111" s="163">
        <f t="shared" si="6"/>
        <v>0</v>
      </c>
      <c r="M111" s="163">
        <f t="shared" si="7"/>
        <v>0</v>
      </c>
      <c r="N111" s="163">
        <f t="shared" si="8"/>
        <v>0</v>
      </c>
      <c r="O111" t="str">
        <f>SUBSTITUTE(StripChar(B111),"-","")</f>
        <v/>
      </c>
      <c r="P111" s="163">
        <f t="shared" si="9"/>
        <v>0</v>
      </c>
      <c r="Q111" s="163">
        <f t="shared" si="10"/>
        <v>0</v>
      </c>
      <c r="R111" t="str">
        <f t="shared" si="11"/>
        <v/>
      </c>
    </row>
    <row r="112" spans="1:18" x14ac:dyDescent="0.2">
      <c r="A112" t="str">
        <f>IF('Sample Information'!$A152="","",IF('Sample Information'!$L$9="","INIT",'Sample Information'!$L$9)&amp;ROW(A112)-2)</f>
        <v/>
      </c>
      <c r="B112" t="str">
        <f>IF('Sample Information'!C152="","",'Sample Information'!C152)</f>
        <v/>
      </c>
      <c r="D112" t="str">
        <f>IF('Sample Information'!E152="","",'Sample Information'!E152)</f>
        <v/>
      </c>
      <c r="E112" t="str">
        <f>IF('Sample Information'!F152="","",'Sample Information'!F152)</f>
        <v/>
      </c>
      <c r="F112" t="str">
        <f>IF('Sample Information'!G152="","",'Sample Information'!G152)</f>
        <v/>
      </c>
      <c r="G112" t="str">
        <f>IF('Sample Information'!H152="","",'Sample Information'!H152)</f>
        <v/>
      </c>
      <c r="I112" t="str">
        <f>IF('Sample Information'!J152="","",'Sample Information'!J152)</f>
        <v/>
      </c>
      <c r="K112" t="str">
        <f>IF('Sample Information'!L152="","",'Sample Information'!L152)</f>
        <v/>
      </c>
      <c r="L112" s="163">
        <f t="shared" si="6"/>
        <v>0</v>
      </c>
      <c r="M112" s="163">
        <f t="shared" si="7"/>
        <v>0</v>
      </c>
      <c r="N112" s="163">
        <f t="shared" si="8"/>
        <v>0</v>
      </c>
      <c r="O112" t="str">
        <f>SUBSTITUTE(StripChar(B112),"-","")</f>
        <v/>
      </c>
      <c r="P112" s="163">
        <f t="shared" si="9"/>
        <v>0</v>
      </c>
      <c r="Q112" s="163">
        <f t="shared" si="10"/>
        <v>0</v>
      </c>
      <c r="R112" t="str">
        <f t="shared" si="11"/>
        <v/>
      </c>
    </row>
    <row r="113" spans="1:18" x14ac:dyDescent="0.2">
      <c r="A113" t="str">
        <f>IF('Sample Information'!$A153="","",IF('Sample Information'!$L$9="","INIT",'Sample Information'!$L$9)&amp;ROW(A113)-2)</f>
        <v/>
      </c>
      <c r="B113" t="str">
        <f>IF('Sample Information'!C153="","",'Sample Information'!C153)</f>
        <v/>
      </c>
      <c r="D113" t="str">
        <f>IF('Sample Information'!E153="","",'Sample Information'!E153)</f>
        <v/>
      </c>
      <c r="E113" t="str">
        <f>IF('Sample Information'!F153="","",'Sample Information'!F153)</f>
        <v/>
      </c>
      <c r="F113" t="str">
        <f>IF('Sample Information'!G153="","",'Sample Information'!G153)</f>
        <v/>
      </c>
      <c r="G113" t="str">
        <f>IF('Sample Information'!H153="","",'Sample Information'!H153)</f>
        <v/>
      </c>
      <c r="I113" t="str">
        <f>IF('Sample Information'!J153="","",'Sample Information'!J153)</f>
        <v/>
      </c>
      <c r="K113" t="str">
        <f>IF('Sample Information'!L153="","",'Sample Information'!L153)</f>
        <v/>
      </c>
      <c r="L113" s="163">
        <f t="shared" si="6"/>
        <v>0</v>
      </c>
      <c r="M113" s="163">
        <f t="shared" si="7"/>
        <v>0</v>
      </c>
      <c r="N113" s="163">
        <f t="shared" si="8"/>
        <v>0</v>
      </c>
      <c r="O113" t="str">
        <f>SUBSTITUTE(StripChar(B113),"-","")</f>
        <v/>
      </c>
      <c r="P113" s="163">
        <f t="shared" si="9"/>
        <v>0</v>
      </c>
      <c r="Q113" s="163">
        <f t="shared" si="10"/>
        <v>0</v>
      </c>
      <c r="R113" t="str">
        <f t="shared" si="11"/>
        <v/>
      </c>
    </row>
    <row r="114" spans="1:18" x14ac:dyDescent="0.2">
      <c r="A114" t="str">
        <f>IF('Sample Information'!$A154="","",IF('Sample Information'!$L$9="","INIT",'Sample Information'!$L$9)&amp;ROW(A114)-2)</f>
        <v/>
      </c>
      <c r="B114" t="str">
        <f>IF('Sample Information'!C154="","",'Sample Information'!C154)</f>
        <v/>
      </c>
      <c r="D114" t="str">
        <f>IF('Sample Information'!E154="","",'Sample Information'!E154)</f>
        <v/>
      </c>
      <c r="E114" t="str">
        <f>IF('Sample Information'!F154="","",'Sample Information'!F154)</f>
        <v/>
      </c>
      <c r="F114" t="str">
        <f>IF('Sample Information'!G154="","",'Sample Information'!G154)</f>
        <v/>
      </c>
      <c r="G114" t="str">
        <f>IF('Sample Information'!H154="","",'Sample Information'!H154)</f>
        <v/>
      </c>
      <c r="I114" t="str">
        <f>IF('Sample Information'!J154="","",'Sample Information'!J154)</f>
        <v/>
      </c>
      <c r="K114" t="str">
        <f>IF('Sample Information'!L154="","",'Sample Information'!L154)</f>
        <v/>
      </c>
      <c r="L114" s="163">
        <f t="shared" si="6"/>
        <v>0</v>
      </c>
      <c r="M114" s="163">
        <f t="shared" si="7"/>
        <v>0</v>
      </c>
      <c r="N114" s="163">
        <f t="shared" si="8"/>
        <v>0</v>
      </c>
      <c r="O114" t="str">
        <f>SUBSTITUTE(StripChar(B114),"-","")</f>
        <v/>
      </c>
      <c r="P114" s="163">
        <f t="shared" si="9"/>
        <v>0</v>
      </c>
      <c r="Q114" s="163">
        <f t="shared" si="10"/>
        <v>0</v>
      </c>
      <c r="R114" t="str">
        <f t="shared" si="11"/>
        <v/>
      </c>
    </row>
    <row r="115" spans="1:18" x14ac:dyDescent="0.2">
      <c r="A115" t="str">
        <f>IF('Sample Information'!$A155="","",IF('Sample Information'!$L$9="","INIT",'Sample Information'!$L$9)&amp;ROW(A115)-2)</f>
        <v/>
      </c>
      <c r="B115" t="str">
        <f>IF('Sample Information'!C155="","",'Sample Information'!C155)</f>
        <v/>
      </c>
      <c r="D115" t="str">
        <f>IF('Sample Information'!E155="","",'Sample Information'!E155)</f>
        <v/>
      </c>
      <c r="E115" t="str">
        <f>IF('Sample Information'!F155="","",'Sample Information'!F155)</f>
        <v/>
      </c>
      <c r="F115" t="str">
        <f>IF('Sample Information'!G155="","",'Sample Information'!G155)</f>
        <v/>
      </c>
      <c r="G115" t="str">
        <f>IF('Sample Information'!H155="","",'Sample Information'!H155)</f>
        <v/>
      </c>
      <c r="I115" t="str">
        <f>IF('Sample Information'!J155="","",'Sample Information'!J155)</f>
        <v/>
      </c>
      <c r="K115" t="str">
        <f>IF('Sample Information'!L155="","",'Sample Information'!L155)</f>
        <v/>
      </c>
      <c r="L115" s="163">
        <f t="shared" si="6"/>
        <v>0</v>
      </c>
      <c r="M115" s="163">
        <f t="shared" si="7"/>
        <v>0</v>
      </c>
      <c r="N115" s="163">
        <f t="shared" si="8"/>
        <v>0</v>
      </c>
      <c r="O115" t="str">
        <f>SUBSTITUTE(StripChar(B115),"-","")</f>
        <v/>
      </c>
      <c r="P115" s="163">
        <f t="shared" si="9"/>
        <v>0</v>
      </c>
      <c r="Q115" s="163">
        <f t="shared" si="10"/>
        <v>0</v>
      </c>
      <c r="R115" t="str">
        <f t="shared" si="11"/>
        <v/>
      </c>
    </row>
    <row r="116" spans="1:18" x14ac:dyDescent="0.2">
      <c r="A116" t="str">
        <f>IF('Sample Information'!$A156="","",IF('Sample Information'!$L$9="","INIT",'Sample Information'!$L$9)&amp;ROW(A116)-2)</f>
        <v/>
      </c>
      <c r="B116" t="str">
        <f>IF('Sample Information'!C156="","",'Sample Information'!C156)</f>
        <v/>
      </c>
      <c r="D116" t="str">
        <f>IF('Sample Information'!E156="","",'Sample Information'!E156)</f>
        <v/>
      </c>
      <c r="E116" t="str">
        <f>IF('Sample Information'!F156="","",'Sample Information'!F156)</f>
        <v/>
      </c>
      <c r="F116" t="str">
        <f>IF('Sample Information'!G156="","",'Sample Information'!G156)</f>
        <v/>
      </c>
      <c r="G116" t="str">
        <f>IF('Sample Information'!H156="","",'Sample Information'!H156)</f>
        <v/>
      </c>
      <c r="I116" t="str">
        <f>IF('Sample Information'!J156="","",'Sample Information'!J156)</f>
        <v/>
      </c>
      <c r="K116" t="str">
        <f>IF('Sample Information'!L156="","",'Sample Information'!L156)</f>
        <v/>
      </c>
      <c r="L116" s="163">
        <f t="shared" si="6"/>
        <v>0</v>
      </c>
      <c r="M116" s="163">
        <f t="shared" si="7"/>
        <v>0</v>
      </c>
      <c r="N116" s="163">
        <f t="shared" si="8"/>
        <v>0</v>
      </c>
      <c r="O116" t="str">
        <f>SUBSTITUTE(StripChar(B116),"-","")</f>
        <v/>
      </c>
      <c r="P116" s="163">
        <f t="shared" si="9"/>
        <v>0</v>
      </c>
      <c r="Q116" s="163">
        <f t="shared" si="10"/>
        <v>0</v>
      </c>
      <c r="R116" t="str">
        <f t="shared" si="11"/>
        <v/>
      </c>
    </row>
    <row r="117" spans="1:18" x14ac:dyDescent="0.2">
      <c r="A117" t="str">
        <f>IF('Sample Information'!$A157="","",IF('Sample Information'!$L$9="","INIT",'Sample Information'!$L$9)&amp;ROW(A117)-2)</f>
        <v/>
      </c>
      <c r="B117" t="str">
        <f>IF('Sample Information'!C157="","",'Sample Information'!C157)</f>
        <v/>
      </c>
      <c r="D117" t="str">
        <f>IF('Sample Information'!E157="","",'Sample Information'!E157)</f>
        <v/>
      </c>
      <c r="E117" t="str">
        <f>IF('Sample Information'!F157="","",'Sample Information'!F157)</f>
        <v/>
      </c>
      <c r="F117" t="str">
        <f>IF('Sample Information'!G157="","",'Sample Information'!G157)</f>
        <v/>
      </c>
      <c r="G117" t="str">
        <f>IF('Sample Information'!H157="","",'Sample Information'!H157)</f>
        <v/>
      </c>
      <c r="I117" t="str">
        <f>IF('Sample Information'!J157="","",'Sample Information'!J157)</f>
        <v/>
      </c>
      <c r="K117" t="str">
        <f>IF('Sample Information'!L157="","",'Sample Information'!L157)</f>
        <v/>
      </c>
      <c r="L117" s="163">
        <f t="shared" si="6"/>
        <v>0</v>
      </c>
      <c r="M117" s="163">
        <f t="shared" si="7"/>
        <v>0</v>
      </c>
      <c r="N117" s="163">
        <f t="shared" si="8"/>
        <v>0</v>
      </c>
      <c r="O117" t="str">
        <f>SUBSTITUTE(StripChar(B117),"-","")</f>
        <v/>
      </c>
      <c r="P117" s="163">
        <f t="shared" si="9"/>
        <v>0</v>
      </c>
      <c r="Q117" s="163">
        <f t="shared" si="10"/>
        <v>0</v>
      </c>
      <c r="R117" t="str">
        <f t="shared" si="11"/>
        <v/>
      </c>
    </row>
    <row r="118" spans="1:18" x14ac:dyDescent="0.2">
      <c r="A118" t="str">
        <f>IF('Sample Information'!$A158="","",IF('Sample Information'!$L$9="","INIT",'Sample Information'!$L$9)&amp;ROW(A118)-2)</f>
        <v/>
      </c>
      <c r="B118" t="str">
        <f>IF('Sample Information'!C158="","",'Sample Information'!C158)</f>
        <v/>
      </c>
      <c r="D118" t="str">
        <f>IF('Sample Information'!E158="","",'Sample Information'!E158)</f>
        <v/>
      </c>
      <c r="E118" t="str">
        <f>IF('Sample Information'!F158="","",'Sample Information'!F158)</f>
        <v/>
      </c>
      <c r="F118" t="str">
        <f>IF('Sample Information'!G158="","",'Sample Information'!G158)</f>
        <v/>
      </c>
      <c r="G118" t="str">
        <f>IF('Sample Information'!H158="","",'Sample Information'!H158)</f>
        <v/>
      </c>
      <c r="I118" t="str">
        <f>IF('Sample Information'!J158="","",'Sample Information'!J158)</f>
        <v/>
      </c>
      <c r="K118" t="str">
        <f>IF('Sample Information'!L158="","",'Sample Information'!L158)</f>
        <v/>
      </c>
      <c r="L118" s="163">
        <f t="shared" si="6"/>
        <v>0</v>
      </c>
      <c r="M118" s="163">
        <f t="shared" si="7"/>
        <v>0</v>
      </c>
      <c r="N118" s="163">
        <f t="shared" si="8"/>
        <v>0</v>
      </c>
      <c r="O118" t="str">
        <f>SUBSTITUTE(StripChar(B118),"-","")</f>
        <v/>
      </c>
      <c r="P118" s="163">
        <f t="shared" si="9"/>
        <v>0</v>
      </c>
      <c r="Q118" s="163">
        <f t="shared" si="10"/>
        <v>0</v>
      </c>
      <c r="R118" t="str">
        <f t="shared" si="11"/>
        <v/>
      </c>
    </row>
    <row r="119" spans="1:18" x14ac:dyDescent="0.2">
      <c r="A119" t="str">
        <f>IF('Sample Information'!$A159="","",IF('Sample Information'!$L$9="","INIT",'Sample Information'!$L$9)&amp;ROW(A119)-2)</f>
        <v/>
      </c>
      <c r="B119" t="str">
        <f>IF('Sample Information'!C159="","",'Sample Information'!C159)</f>
        <v/>
      </c>
      <c r="D119" t="str">
        <f>IF('Sample Information'!E159="","",'Sample Information'!E159)</f>
        <v/>
      </c>
      <c r="E119" t="str">
        <f>IF('Sample Information'!F159="","",'Sample Information'!F159)</f>
        <v/>
      </c>
      <c r="F119" t="str">
        <f>IF('Sample Information'!G159="","",'Sample Information'!G159)</f>
        <v/>
      </c>
      <c r="G119" t="str">
        <f>IF('Sample Information'!H159="","",'Sample Information'!H159)</f>
        <v/>
      </c>
      <c r="I119" t="str">
        <f>IF('Sample Information'!J159="","",'Sample Information'!J159)</f>
        <v/>
      </c>
      <c r="K119" t="str">
        <f>IF('Sample Information'!L159="","",'Sample Information'!L159)</f>
        <v/>
      </c>
      <c r="L119" s="163">
        <f t="shared" si="6"/>
        <v>0</v>
      </c>
      <c r="M119" s="163">
        <f t="shared" si="7"/>
        <v>0</v>
      </c>
      <c r="N119" s="163">
        <f t="shared" si="8"/>
        <v>0</v>
      </c>
      <c r="O119" t="str">
        <f>SUBSTITUTE(StripChar(B119),"-","")</f>
        <v/>
      </c>
      <c r="P119" s="163">
        <f t="shared" si="9"/>
        <v>0</v>
      </c>
      <c r="Q119" s="163">
        <f t="shared" si="10"/>
        <v>0</v>
      </c>
      <c r="R119" t="str">
        <f t="shared" si="11"/>
        <v/>
      </c>
    </row>
    <row r="120" spans="1:18" x14ac:dyDescent="0.2">
      <c r="A120" t="str">
        <f>IF('Sample Information'!$A160="","",IF('Sample Information'!$L$9="","INIT",'Sample Information'!$L$9)&amp;ROW(A120)-2)</f>
        <v/>
      </c>
      <c r="B120" t="str">
        <f>IF('Sample Information'!C160="","",'Sample Information'!C160)</f>
        <v/>
      </c>
      <c r="D120" t="str">
        <f>IF('Sample Information'!E160="","",'Sample Information'!E160)</f>
        <v/>
      </c>
      <c r="E120" t="str">
        <f>IF('Sample Information'!F160="","",'Sample Information'!F160)</f>
        <v/>
      </c>
      <c r="F120" t="str">
        <f>IF('Sample Information'!G160="","",'Sample Information'!G160)</f>
        <v/>
      </c>
      <c r="G120" t="str">
        <f>IF('Sample Information'!H160="","",'Sample Information'!H160)</f>
        <v/>
      </c>
      <c r="I120" t="str">
        <f>IF('Sample Information'!J160="","",'Sample Information'!J160)</f>
        <v/>
      </c>
      <c r="K120" t="str">
        <f>IF('Sample Information'!L160="","",'Sample Information'!L160)</f>
        <v/>
      </c>
      <c r="L120" s="163">
        <f t="shared" si="6"/>
        <v>0</v>
      </c>
      <c r="M120" s="163">
        <f t="shared" si="7"/>
        <v>0</v>
      </c>
      <c r="N120" s="163">
        <f t="shared" si="8"/>
        <v>0</v>
      </c>
      <c r="O120" t="str">
        <f>SUBSTITUTE(StripChar(B120),"-","")</f>
        <v/>
      </c>
      <c r="P120" s="163">
        <f t="shared" si="9"/>
        <v>0</v>
      </c>
      <c r="Q120" s="163">
        <f t="shared" si="10"/>
        <v>0</v>
      </c>
      <c r="R120" t="str">
        <f t="shared" si="11"/>
        <v/>
      </c>
    </row>
    <row r="121" spans="1:18" x14ac:dyDescent="0.2">
      <c r="A121" t="str">
        <f>IF('Sample Information'!$A161="","",IF('Sample Information'!$L$9="","INIT",'Sample Information'!$L$9)&amp;ROW(A121)-2)</f>
        <v/>
      </c>
      <c r="B121" t="str">
        <f>IF('Sample Information'!C161="","",'Sample Information'!C161)</f>
        <v/>
      </c>
      <c r="D121" t="str">
        <f>IF('Sample Information'!E161="","",'Sample Information'!E161)</f>
        <v/>
      </c>
      <c r="E121" t="str">
        <f>IF('Sample Information'!F161="","",'Sample Information'!F161)</f>
        <v/>
      </c>
      <c r="F121" t="str">
        <f>IF('Sample Information'!G161="","",'Sample Information'!G161)</f>
        <v/>
      </c>
      <c r="G121" t="str">
        <f>IF('Sample Information'!H161="","",'Sample Information'!H161)</f>
        <v/>
      </c>
      <c r="I121" t="str">
        <f>IF('Sample Information'!J161="","",'Sample Information'!J161)</f>
        <v/>
      </c>
      <c r="K121" t="str">
        <f>IF('Sample Information'!L161="","",'Sample Information'!L161)</f>
        <v/>
      </c>
      <c r="L121" s="163">
        <f t="shared" si="6"/>
        <v>0</v>
      </c>
      <c r="M121" s="163">
        <f t="shared" si="7"/>
        <v>0</v>
      </c>
      <c r="N121" s="163">
        <f t="shared" si="8"/>
        <v>0</v>
      </c>
      <c r="O121" t="str">
        <f>SUBSTITUTE(StripChar(B121),"-","")</f>
        <v/>
      </c>
      <c r="P121" s="163">
        <f t="shared" si="9"/>
        <v>0</v>
      </c>
      <c r="Q121" s="163">
        <f t="shared" si="10"/>
        <v>0</v>
      </c>
      <c r="R121" t="str">
        <f t="shared" si="11"/>
        <v/>
      </c>
    </row>
    <row r="122" spans="1:18" x14ac:dyDescent="0.2">
      <c r="A122" t="str">
        <f>IF('Sample Information'!$A162="","",IF('Sample Information'!$L$9="","INIT",'Sample Information'!$L$9)&amp;ROW(A122)-2)</f>
        <v/>
      </c>
      <c r="B122" t="str">
        <f>IF('Sample Information'!C162="","",'Sample Information'!C162)</f>
        <v/>
      </c>
      <c r="D122" t="str">
        <f>IF('Sample Information'!E162="","",'Sample Information'!E162)</f>
        <v/>
      </c>
      <c r="E122" t="str">
        <f>IF('Sample Information'!F162="","",'Sample Information'!F162)</f>
        <v/>
      </c>
      <c r="F122" t="str">
        <f>IF('Sample Information'!G162="","",'Sample Information'!G162)</f>
        <v/>
      </c>
      <c r="G122" t="str">
        <f>IF('Sample Information'!H162="","",'Sample Information'!H162)</f>
        <v/>
      </c>
      <c r="I122" t="str">
        <f>IF('Sample Information'!J162="","",'Sample Information'!J162)</f>
        <v/>
      </c>
      <c r="K122" t="str">
        <f>IF('Sample Information'!L162="","",'Sample Information'!L162)</f>
        <v/>
      </c>
      <c r="L122" s="163">
        <f t="shared" si="6"/>
        <v>0</v>
      </c>
      <c r="M122" s="163">
        <f t="shared" si="7"/>
        <v>0</v>
      </c>
      <c r="N122" s="163">
        <f t="shared" si="8"/>
        <v>0</v>
      </c>
      <c r="O122" t="str">
        <f>SUBSTITUTE(StripChar(B122),"-","")</f>
        <v/>
      </c>
      <c r="P122" s="163">
        <f t="shared" si="9"/>
        <v>0</v>
      </c>
      <c r="Q122" s="163">
        <f t="shared" si="10"/>
        <v>0</v>
      </c>
      <c r="R122" t="str">
        <f t="shared" si="11"/>
        <v/>
      </c>
    </row>
    <row r="123" spans="1:18" x14ac:dyDescent="0.2">
      <c r="A123" t="str">
        <f>IF('Sample Information'!$A163="","",IF('Sample Information'!$L$9="","INIT",'Sample Information'!$L$9)&amp;ROW(A123)-2)</f>
        <v/>
      </c>
      <c r="B123" t="str">
        <f>IF('Sample Information'!C163="","",'Sample Information'!C163)</f>
        <v/>
      </c>
      <c r="D123" t="str">
        <f>IF('Sample Information'!E163="","",'Sample Information'!E163)</f>
        <v/>
      </c>
      <c r="E123" t="str">
        <f>IF('Sample Information'!F163="","",'Sample Information'!F163)</f>
        <v/>
      </c>
      <c r="F123" t="str">
        <f>IF('Sample Information'!G163="","",'Sample Information'!G163)</f>
        <v/>
      </c>
      <c r="G123" t="str">
        <f>IF('Sample Information'!H163="","",'Sample Information'!H163)</f>
        <v/>
      </c>
      <c r="I123" t="str">
        <f>IF('Sample Information'!J163="","",'Sample Information'!J163)</f>
        <v/>
      </c>
      <c r="K123" t="str">
        <f>IF('Sample Information'!L163="","",'Sample Information'!L163)</f>
        <v/>
      </c>
      <c r="L123" s="163">
        <f t="shared" si="6"/>
        <v>0</v>
      </c>
      <c r="M123" s="163">
        <f t="shared" si="7"/>
        <v>0</v>
      </c>
      <c r="N123" s="163">
        <f t="shared" si="8"/>
        <v>0</v>
      </c>
      <c r="O123" t="str">
        <f>SUBSTITUTE(StripChar(B123),"-","")</f>
        <v/>
      </c>
      <c r="P123" s="163">
        <f t="shared" si="9"/>
        <v>0</v>
      </c>
      <c r="Q123" s="163">
        <f t="shared" si="10"/>
        <v>0</v>
      </c>
      <c r="R123" t="str">
        <f t="shared" si="11"/>
        <v/>
      </c>
    </row>
    <row r="124" spans="1:18" x14ac:dyDescent="0.2">
      <c r="A124" t="str">
        <f>IF('Sample Information'!$A164="","",IF('Sample Information'!$L$9="","INIT",'Sample Information'!$L$9)&amp;ROW(A124)-2)</f>
        <v/>
      </c>
      <c r="B124" t="str">
        <f>IF('Sample Information'!C164="","",'Sample Information'!C164)</f>
        <v/>
      </c>
      <c r="D124" t="str">
        <f>IF('Sample Information'!E164="","",'Sample Information'!E164)</f>
        <v/>
      </c>
      <c r="E124" t="str">
        <f>IF('Sample Information'!F164="","",'Sample Information'!F164)</f>
        <v/>
      </c>
      <c r="F124" t="str">
        <f>IF('Sample Information'!G164="","",'Sample Information'!G164)</f>
        <v/>
      </c>
      <c r="G124" t="str">
        <f>IF('Sample Information'!H164="","",'Sample Information'!H164)</f>
        <v/>
      </c>
      <c r="I124" t="str">
        <f>IF('Sample Information'!J164="","",'Sample Information'!J164)</f>
        <v/>
      </c>
      <c r="K124" t="str">
        <f>IF('Sample Information'!L164="","",'Sample Information'!L164)</f>
        <v/>
      </c>
      <c r="L124" s="163">
        <f t="shared" si="6"/>
        <v>0</v>
      </c>
      <c r="M124" s="163">
        <f t="shared" si="7"/>
        <v>0</v>
      </c>
      <c r="N124" s="163">
        <f t="shared" si="8"/>
        <v>0</v>
      </c>
      <c r="O124" t="str">
        <f>SUBSTITUTE(StripChar(B124),"-","")</f>
        <v/>
      </c>
      <c r="P124" s="163">
        <f t="shared" si="9"/>
        <v>0</v>
      </c>
      <c r="Q124" s="163">
        <f t="shared" si="10"/>
        <v>0</v>
      </c>
      <c r="R124" t="str">
        <f t="shared" si="11"/>
        <v/>
      </c>
    </row>
    <row r="125" spans="1:18" x14ac:dyDescent="0.2">
      <c r="A125" t="str">
        <f>IF('Sample Information'!$A165="","",IF('Sample Information'!$L$9="","INIT",'Sample Information'!$L$9)&amp;ROW(A125)-2)</f>
        <v/>
      </c>
      <c r="B125" t="str">
        <f>IF('Sample Information'!C165="","",'Sample Information'!C165)</f>
        <v/>
      </c>
      <c r="D125" t="str">
        <f>IF('Sample Information'!E165="","",'Sample Information'!E165)</f>
        <v/>
      </c>
      <c r="E125" t="str">
        <f>IF('Sample Information'!F165="","",'Sample Information'!F165)</f>
        <v/>
      </c>
      <c r="F125" t="str">
        <f>IF('Sample Information'!G165="","",'Sample Information'!G165)</f>
        <v/>
      </c>
      <c r="G125" t="str">
        <f>IF('Sample Information'!H165="","",'Sample Information'!H165)</f>
        <v/>
      </c>
      <c r="I125" t="str">
        <f>IF('Sample Information'!J165="","",'Sample Information'!J165)</f>
        <v/>
      </c>
      <c r="K125" t="str">
        <f>IF('Sample Information'!L165="","",'Sample Information'!L165)</f>
        <v/>
      </c>
      <c r="L125" s="163">
        <f t="shared" si="6"/>
        <v>0</v>
      </c>
      <c r="M125" s="163">
        <f t="shared" si="7"/>
        <v>0</v>
      </c>
      <c r="N125" s="163">
        <f t="shared" si="8"/>
        <v>0</v>
      </c>
      <c r="O125" t="str">
        <f>SUBSTITUTE(StripChar(B125),"-","")</f>
        <v/>
      </c>
      <c r="P125" s="163">
        <f t="shared" si="9"/>
        <v>0</v>
      </c>
      <c r="Q125" s="163">
        <f t="shared" si="10"/>
        <v>0</v>
      </c>
      <c r="R125" t="str">
        <f t="shared" si="11"/>
        <v/>
      </c>
    </row>
    <row r="126" spans="1:18" x14ac:dyDescent="0.2">
      <c r="A126" t="str">
        <f>IF('Sample Information'!$A166="","",IF('Sample Information'!$L$9="","INIT",'Sample Information'!$L$9)&amp;ROW(A126)-2)</f>
        <v/>
      </c>
      <c r="B126" t="str">
        <f>IF('Sample Information'!C166="","",'Sample Information'!C166)</f>
        <v/>
      </c>
      <c r="D126" t="str">
        <f>IF('Sample Information'!E166="","",'Sample Information'!E166)</f>
        <v/>
      </c>
      <c r="E126" t="str">
        <f>IF('Sample Information'!F166="","",'Sample Information'!F166)</f>
        <v/>
      </c>
      <c r="F126" t="str">
        <f>IF('Sample Information'!G166="","",'Sample Information'!G166)</f>
        <v/>
      </c>
      <c r="G126" t="str">
        <f>IF('Sample Information'!H166="","",'Sample Information'!H166)</f>
        <v/>
      </c>
      <c r="I126" t="str">
        <f>IF('Sample Information'!J166="","",'Sample Information'!J166)</f>
        <v/>
      </c>
      <c r="K126" t="str">
        <f>IF('Sample Information'!L166="","",'Sample Information'!L166)</f>
        <v/>
      </c>
      <c r="L126" s="163">
        <f t="shared" si="6"/>
        <v>0</v>
      </c>
      <c r="M126" s="163">
        <f t="shared" si="7"/>
        <v>0</v>
      </c>
      <c r="N126" s="163">
        <f t="shared" si="8"/>
        <v>0</v>
      </c>
      <c r="O126" t="str">
        <f>SUBSTITUTE(StripChar(B126),"-","")</f>
        <v/>
      </c>
      <c r="P126" s="163">
        <f t="shared" si="9"/>
        <v>0</v>
      </c>
      <c r="Q126" s="163">
        <f t="shared" si="10"/>
        <v>0</v>
      </c>
      <c r="R126" t="str">
        <f t="shared" si="11"/>
        <v/>
      </c>
    </row>
    <row r="127" spans="1:18" x14ac:dyDescent="0.2">
      <c r="A127" t="str">
        <f>IF('Sample Information'!$A167="","",IF('Sample Information'!$L$9="","INIT",'Sample Information'!$L$9)&amp;ROW(A127)-2)</f>
        <v/>
      </c>
      <c r="B127" t="str">
        <f>IF('Sample Information'!C167="","",'Sample Information'!C167)</f>
        <v/>
      </c>
      <c r="D127" t="str">
        <f>IF('Sample Information'!E167="","",'Sample Information'!E167)</f>
        <v/>
      </c>
      <c r="E127" t="str">
        <f>IF('Sample Information'!F167="","",'Sample Information'!F167)</f>
        <v/>
      </c>
      <c r="F127" t="str">
        <f>IF('Sample Information'!G167="","",'Sample Information'!G167)</f>
        <v/>
      </c>
      <c r="G127" t="str">
        <f>IF('Sample Information'!H167="","",'Sample Information'!H167)</f>
        <v/>
      </c>
      <c r="I127" t="str">
        <f>IF('Sample Information'!J167="","",'Sample Information'!J167)</f>
        <v/>
      </c>
      <c r="K127" t="str">
        <f>IF('Sample Information'!L167="","",'Sample Information'!L167)</f>
        <v/>
      </c>
      <c r="L127" s="163">
        <f t="shared" si="6"/>
        <v>0</v>
      </c>
      <c r="M127" s="163">
        <f t="shared" si="7"/>
        <v>0</v>
      </c>
      <c r="N127" s="163">
        <f t="shared" si="8"/>
        <v>0</v>
      </c>
      <c r="O127" t="str">
        <f>SUBSTITUTE(StripChar(B127),"-","")</f>
        <v/>
      </c>
      <c r="P127" s="163">
        <f t="shared" si="9"/>
        <v>0</v>
      </c>
      <c r="Q127" s="163">
        <f t="shared" si="10"/>
        <v>0</v>
      </c>
      <c r="R127" t="str">
        <f t="shared" si="11"/>
        <v/>
      </c>
    </row>
    <row r="128" spans="1:18" x14ac:dyDescent="0.2">
      <c r="A128" t="str">
        <f>IF('Sample Information'!$A168="","",IF('Sample Information'!$L$9="","INIT",'Sample Information'!$L$9)&amp;ROW(A128)-2)</f>
        <v/>
      </c>
      <c r="B128" t="str">
        <f>IF('Sample Information'!C168="","",'Sample Information'!C168)</f>
        <v/>
      </c>
      <c r="D128" t="str">
        <f>IF('Sample Information'!E168="","",'Sample Information'!E168)</f>
        <v/>
      </c>
      <c r="E128" t="str">
        <f>IF('Sample Information'!F168="","",'Sample Information'!F168)</f>
        <v/>
      </c>
      <c r="F128" t="str">
        <f>IF('Sample Information'!G168="","",'Sample Information'!G168)</f>
        <v/>
      </c>
      <c r="G128" t="str">
        <f>IF('Sample Information'!H168="","",'Sample Information'!H168)</f>
        <v/>
      </c>
      <c r="I128" t="str">
        <f>IF('Sample Information'!J168="","",'Sample Information'!J168)</f>
        <v/>
      </c>
      <c r="K128" t="str">
        <f>IF('Sample Information'!L168="","",'Sample Information'!L168)</f>
        <v/>
      </c>
      <c r="L128" s="163">
        <f t="shared" si="6"/>
        <v>0</v>
      </c>
      <c r="M128" s="163">
        <f t="shared" si="7"/>
        <v>0</v>
      </c>
      <c r="N128" s="163">
        <f t="shared" si="8"/>
        <v>0</v>
      </c>
      <c r="O128" t="str">
        <f>SUBSTITUTE(StripChar(B128),"-","")</f>
        <v/>
      </c>
      <c r="P128" s="163">
        <f t="shared" si="9"/>
        <v>0</v>
      </c>
      <c r="Q128" s="163">
        <f t="shared" si="10"/>
        <v>0</v>
      </c>
      <c r="R128" t="str">
        <f t="shared" si="11"/>
        <v/>
      </c>
    </row>
    <row r="129" spans="1:18" x14ac:dyDescent="0.2">
      <c r="A129" t="str">
        <f>IF('Sample Information'!$A169="","",IF('Sample Information'!$L$9="","INIT",'Sample Information'!$L$9)&amp;ROW(A129)-2)</f>
        <v/>
      </c>
      <c r="B129" t="str">
        <f>IF('Sample Information'!C169="","",'Sample Information'!C169)</f>
        <v/>
      </c>
      <c r="D129" t="str">
        <f>IF('Sample Information'!E169="","",'Sample Information'!E169)</f>
        <v/>
      </c>
      <c r="E129" t="str">
        <f>IF('Sample Information'!F169="","",'Sample Information'!F169)</f>
        <v/>
      </c>
      <c r="F129" t="str">
        <f>IF('Sample Information'!G169="","",'Sample Information'!G169)</f>
        <v/>
      </c>
      <c r="G129" t="str">
        <f>IF('Sample Information'!H169="","",'Sample Information'!H169)</f>
        <v/>
      </c>
      <c r="I129" t="str">
        <f>IF('Sample Information'!J169="","",'Sample Information'!J169)</f>
        <v/>
      </c>
      <c r="K129" t="str">
        <f>IF('Sample Information'!L169="","",'Sample Information'!L169)</f>
        <v/>
      </c>
      <c r="L129" s="163">
        <f t="shared" si="6"/>
        <v>0</v>
      </c>
      <c r="M129" s="163">
        <f t="shared" si="7"/>
        <v>0</v>
      </c>
      <c r="N129" s="163">
        <f t="shared" si="8"/>
        <v>0</v>
      </c>
      <c r="O129" t="str">
        <f>SUBSTITUTE(StripChar(B129),"-","")</f>
        <v/>
      </c>
      <c r="P129" s="163">
        <f t="shared" si="9"/>
        <v>0</v>
      </c>
      <c r="Q129" s="163">
        <f t="shared" si="10"/>
        <v>0</v>
      </c>
      <c r="R129" t="str">
        <f t="shared" si="11"/>
        <v/>
      </c>
    </row>
    <row r="130" spans="1:18" x14ac:dyDescent="0.2">
      <c r="A130" t="str">
        <f>IF('Sample Information'!$A170="","",IF('Sample Information'!$L$9="","INIT",'Sample Information'!$L$9)&amp;ROW(A130)-2)</f>
        <v/>
      </c>
      <c r="B130" t="str">
        <f>IF('Sample Information'!C170="","",'Sample Information'!C170)</f>
        <v/>
      </c>
      <c r="D130" t="str">
        <f>IF('Sample Information'!E170="","",'Sample Information'!E170)</f>
        <v/>
      </c>
      <c r="E130" t="str">
        <f>IF('Sample Information'!F170="","",'Sample Information'!F170)</f>
        <v/>
      </c>
      <c r="F130" t="str">
        <f>IF('Sample Information'!G170="","",'Sample Information'!G170)</f>
        <v/>
      </c>
      <c r="G130" t="str">
        <f>IF('Sample Information'!H170="","",'Sample Information'!H170)</f>
        <v/>
      </c>
      <c r="I130" t="str">
        <f>IF('Sample Information'!J170="","",'Sample Information'!J170)</f>
        <v/>
      </c>
      <c r="K130" t="str">
        <f>IF('Sample Information'!L170="","",'Sample Information'!L170)</f>
        <v/>
      </c>
      <c r="L130" s="163">
        <f t="shared" si="6"/>
        <v>0</v>
      </c>
      <c r="M130" s="163">
        <f t="shared" si="7"/>
        <v>0</v>
      </c>
      <c r="N130" s="163">
        <f t="shared" si="8"/>
        <v>0</v>
      </c>
      <c r="O130" t="str">
        <f>SUBSTITUTE(StripChar(B130),"-","")</f>
        <v/>
      </c>
      <c r="P130" s="163">
        <f t="shared" si="9"/>
        <v>0</v>
      </c>
      <c r="Q130" s="163">
        <f t="shared" si="10"/>
        <v>0</v>
      </c>
      <c r="R130" t="str">
        <f t="shared" si="11"/>
        <v/>
      </c>
    </row>
    <row r="131" spans="1:18" x14ac:dyDescent="0.2">
      <c r="A131" t="str">
        <f>IF('Sample Information'!$A171="","",IF('Sample Information'!$L$9="","INIT",'Sample Information'!$L$9)&amp;ROW(A131)-2)</f>
        <v/>
      </c>
      <c r="B131" t="str">
        <f>IF('Sample Information'!C171="","",'Sample Information'!C171)</f>
        <v/>
      </c>
      <c r="D131" t="str">
        <f>IF('Sample Information'!E171="","",'Sample Information'!E171)</f>
        <v/>
      </c>
      <c r="E131" t="str">
        <f>IF('Sample Information'!F171="","",'Sample Information'!F171)</f>
        <v/>
      </c>
      <c r="F131" t="str">
        <f>IF('Sample Information'!G171="","",'Sample Information'!G171)</f>
        <v/>
      </c>
      <c r="G131" t="str">
        <f>IF('Sample Information'!H171="","",'Sample Information'!H171)</f>
        <v/>
      </c>
      <c r="I131" t="str">
        <f>IF('Sample Information'!J171="","",'Sample Information'!J171)</f>
        <v/>
      </c>
      <c r="K131" t="str">
        <f>IF('Sample Information'!L171="","",'Sample Information'!L171)</f>
        <v/>
      </c>
      <c r="L131" s="163">
        <f t="shared" si="6"/>
        <v>0</v>
      </c>
      <c r="M131" s="163">
        <f t="shared" si="7"/>
        <v>0</v>
      </c>
      <c r="N131" s="163">
        <f t="shared" si="8"/>
        <v>0</v>
      </c>
      <c r="O131" t="str">
        <f>SUBSTITUTE(StripChar(B131),"-","")</f>
        <v/>
      </c>
      <c r="P131" s="163">
        <f t="shared" si="9"/>
        <v>0</v>
      </c>
      <c r="Q131" s="163">
        <f t="shared" si="10"/>
        <v>0</v>
      </c>
      <c r="R131" t="str">
        <f t="shared" si="11"/>
        <v/>
      </c>
    </row>
    <row r="132" spans="1:18" x14ac:dyDescent="0.2">
      <c r="A132" t="str">
        <f>IF('Sample Information'!$A172="","",IF('Sample Information'!$L$9="","INIT",'Sample Information'!$L$9)&amp;ROW(A132)-2)</f>
        <v/>
      </c>
      <c r="B132" t="str">
        <f>IF('Sample Information'!C172="","",'Sample Information'!C172)</f>
        <v/>
      </c>
      <c r="D132" t="str">
        <f>IF('Sample Information'!E172="","",'Sample Information'!E172)</f>
        <v/>
      </c>
      <c r="E132" t="str">
        <f>IF('Sample Information'!F172="","",'Sample Information'!F172)</f>
        <v/>
      </c>
      <c r="F132" t="str">
        <f>IF('Sample Information'!G172="","",'Sample Information'!G172)</f>
        <v/>
      </c>
      <c r="G132" t="str">
        <f>IF('Sample Information'!H172="","",'Sample Information'!H172)</f>
        <v/>
      </c>
      <c r="I132" t="str">
        <f>IF('Sample Information'!J172="","",'Sample Information'!J172)</f>
        <v/>
      </c>
      <c r="K132" t="str">
        <f>IF('Sample Information'!L172="","",'Sample Information'!L172)</f>
        <v/>
      </c>
      <c r="L132" s="163">
        <f t="shared" ref="L132:L152" si="12">SUM(M132:N132)+IF(P132&gt;1,10,0)+IF(AND(A132&lt;&gt;"",B132=""),100,0)</f>
        <v>0</v>
      </c>
      <c r="M132" s="163">
        <f t="shared" ref="M132:M152" si="13">IF(ISERROR(FIND("_",B132)),0,1)</f>
        <v>0</v>
      </c>
      <c r="N132" s="163">
        <f t="shared" ref="N132:N152" si="14">IF(LEN(O132)&gt;0,1,0)</f>
        <v>0</v>
      </c>
      <c r="O132" t="str">
        <f>SUBSTITUTE(StripChar(B132),"-","")</f>
        <v/>
      </c>
      <c r="P132" s="163">
        <f t="shared" ref="P132:P152" si="15">IF(B132="",0,COUNTIF($B$3:$B$152,B132))</f>
        <v>0</v>
      </c>
      <c r="Q132" s="163">
        <f t="shared" ref="Q132:Q152" si="16">IF(R132="",0,COUNTIF($R$3:$R$152,R132))</f>
        <v>0</v>
      </c>
      <c r="R132" t="str">
        <f t="shared" ref="R132:R152" si="17">G132&amp;I132</f>
        <v/>
      </c>
    </row>
    <row r="133" spans="1:18" x14ac:dyDescent="0.2">
      <c r="A133" t="str">
        <f>IF('Sample Information'!$A173="","",IF('Sample Information'!$L$9="","INIT",'Sample Information'!$L$9)&amp;ROW(A133)-2)</f>
        <v/>
      </c>
      <c r="B133" t="str">
        <f>IF('Sample Information'!C173="","",'Sample Information'!C173)</f>
        <v/>
      </c>
      <c r="D133" t="str">
        <f>IF('Sample Information'!E173="","",'Sample Information'!E173)</f>
        <v/>
      </c>
      <c r="E133" t="str">
        <f>IF('Sample Information'!F173="","",'Sample Information'!F173)</f>
        <v/>
      </c>
      <c r="F133" t="str">
        <f>IF('Sample Information'!G173="","",'Sample Information'!G173)</f>
        <v/>
      </c>
      <c r="G133" t="str">
        <f>IF('Sample Information'!H173="","",'Sample Information'!H173)</f>
        <v/>
      </c>
      <c r="I133" t="str">
        <f>IF('Sample Information'!J173="","",'Sample Information'!J173)</f>
        <v/>
      </c>
      <c r="K133" t="str">
        <f>IF('Sample Information'!L173="","",'Sample Information'!L173)</f>
        <v/>
      </c>
      <c r="L133" s="163">
        <f t="shared" si="12"/>
        <v>0</v>
      </c>
      <c r="M133" s="163">
        <f t="shared" si="13"/>
        <v>0</v>
      </c>
      <c r="N133" s="163">
        <f t="shared" si="14"/>
        <v>0</v>
      </c>
      <c r="O133" t="str">
        <f>SUBSTITUTE(StripChar(B133),"-","")</f>
        <v/>
      </c>
      <c r="P133" s="163">
        <f t="shared" si="15"/>
        <v>0</v>
      </c>
      <c r="Q133" s="163">
        <f t="shared" si="16"/>
        <v>0</v>
      </c>
      <c r="R133" t="str">
        <f t="shared" si="17"/>
        <v/>
      </c>
    </row>
    <row r="134" spans="1:18" x14ac:dyDescent="0.2">
      <c r="A134" t="str">
        <f>IF('Sample Information'!$A174="","",IF('Sample Information'!$L$9="","INIT",'Sample Information'!$L$9)&amp;ROW(A134)-2)</f>
        <v/>
      </c>
      <c r="B134" t="str">
        <f>IF('Sample Information'!C174="","",'Sample Information'!C174)</f>
        <v/>
      </c>
      <c r="D134" t="str">
        <f>IF('Sample Information'!E174="","",'Sample Information'!E174)</f>
        <v/>
      </c>
      <c r="E134" t="str">
        <f>IF('Sample Information'!F174="","",'Sample Information'!F174)</f>
        <v/>
      </c>
      <c r="F134" t="str">
        <f>IF('Sample Information'!G174="","",'Sample Information'!G174)</f>
        <v/>
      </c>
      <c r="G134" t="str">
        <f>IF('Sample Information'!H174="","",'Sample Information'!H174)</f>
        <v/>
      </c>
      <c r="I134" t="str">
        <f>IF('Sample Information'!J174="","",'Sample Information'!J174)</f>
        <v/>
      </c>
      <c r="K134" t="str">
        <f>IF('Sample Information'!L174="","",'Sample Information'!L174)</f>
        <v/>
      </c>
      <c r="L134" s="163">
        <f t="shared" si="12"/>
        <v>0</v>
      </c>
      <c r="M134" s="163">
        <f t="shared" si="13"/>
        <v>0</v>
      </c>
      <c r="N134" s="163">
        <f t="shared" si="14"/>
        <v>0</v>
      </c>
      <c r="O134" t="str">
        <f>SUBSTITUTE(StripChar(B134),"-","")</f>
        <v/>
      </c>
      <c r="P134" s="163">
        <f t="shared" si="15"/>
        <v>0</v>
      </c>
      <c r="Q134" s="163">
        <f t="shared" si="16"/>
        <v>0</v>
      </c>
      <c r="R134" t="str">
        <f t="shared" si="17"/>
        <v/>
      </c>
    </row>
    <row r="135" spans="1:18" x14ac:dyDescent="0.2">
      <c r="A135" t="str">
        <f>IF('Sample Information'!$A175="","",IF('Sample Information'!$L$9="","INIT",'Sample Information'!$L$9)&amp;ROW(A135)-2)</f>
        <v/>
      </c>
      <c r="B135" t="str">
        <f>IF('Sample Information'!C175="","",'Sample Information'!C175)</f>
        <v/>
      </c>
      <c r="D135" t="str">
        <f>IF('Sample Information'!E175="","",'Sample Information'!E175)</f>
        <v/>
      </c>
      <c r="E135" t="str">
        <f>IF('Sample Information'!F175="","",'Sample Information'!F175)</f>
        <v/>
      </c>
      <c r="F135" t="str">
        <f>IF('Sample Information'!G175="","",'Sample Information'!G175)</f>
        <v/>
      </c>
      <c r="G135" t="str">
        <f>IF('Sample Information'!H175="","",'Sample Information'!H175)</f>
        <v/>
      </c>
      <c r="I135" t="str">
        <f>IF('Sample Information'!J175="","",'Sample Information'!J175)</f>
        <v/>
      </c>
      <c r="K135" t="str">
        <f>IF('Sample Information'!L175="","",'Sample Information'!L175)</f>
        <v/>
      </c>
      <c r="L135" s="163">
        <f t="shared" si="12"/>
        <v>0</v>
      </c>
      <c r="M135" s="163">
        <f t="shared" si="13"/>
        <v>0</v>
      </c>
      <c r="N135" s="163">
        <f t="shared" si="14"/>
        <v>0</v>
      </c>
      <c r="O135" t="str">
        <f>SUBSTITUTE(StripChar(B135),"-","")</f>
        <v/>
      </c>
      <c r="P135" s="163">
        <f t="shared" si="15"/>
        <v>0</v>
      </c>
      <c r="Q135" s="163">
        <f t="shared" si="16"/>
        <v>0</v>
      </c>
      <c r="R135" t="str">
        <f t="shared" si="17"/>
        <v/>
      </c>
    </row>
    <row r="136" spans="1:18" x14ac:dyDescent="0.2">
      <c r="A136" t="str">
        <f>IF('Sample Information'!$A176="","",IF('Sample Information'!$L$9="","INIT",'Sample Information'!$L$9)&amp;ROW(A136)-2)</f>
        <v/>
      </c>
      <c r="B136" t="str">
        <f>IF('Sample Information'!C176="","",'Sample Information'!C176)</f>
        <v/>
      </c>
      <c r="D136" t="str">
        <f>IF('Sample Information'!E176="","",'Sample Information'!E176)</f>
        <v/>
      </c>
      <c r="E136" t="str">
        <f>IF('Sample Information'!F176="","",'Sample Information'!F176)</f>
        <v/>
      </c>
      <c r="F136" t="str">
        <f>IF('Sample Information'!G176="","",'Sample Information'!G176)</f>
        <v/>
      </c>
      <c r="G136" t="str">
        <f>IF('Sample Information'!H176="","",'Sample Information'!H176)</f>
        <v/>
      </c>
      <c r="I136" t="str">
        <f>IF('Sample Information'!J176="","",'Sample Information'!J176)</f>
        <v/>
      </c>
      <c r="K136" t="str">
        <f>IF('Sample Information'!L176="","",'Sample Information'!L176)</f>
        <v/>
      </c>
      <c r="L136" s="163">
        <f t="shared" si="12"/>
        <v>0</v>
      </c>
      <c r="M136" s="163">
        <f t="shared" si="13"/>
        <v>0</v>
      </c>
      <c r="N136" s="163">
        <f t="shared" si="14"/>
        <v>0</v>
      </c>
      <c r="O136" t="str">
        <f>SUBSTITUTE(StripChar(B136),"-","")</f>
        <v/>
      </c>
      <c r="P136" s="163">
        <f t="shared" si="15"/>
        <v>0</v>
      </c>
      <c r="Q136" s="163">
        <f t="shared" si="16"/>
        <v>0</v>
      </c>
      <c r="R136" t="str">
        <f t="shared" si="17"/>
        <v/>
      </c>
    </row>
    <row r="137" spans="1:18" x14ac:dyDescent="0.2">
      <c r="A137" t="str">
        <f>IF('Sample Information'!$A177="","",IF('Sample Information'!$L$9="","INIT",'Sample Information'!$L$9)&amp;ROW(A137)-2)</f>
        <v/>
      </c>
      <c r="B137" t="str">
        <f>IF('Sample Information'!C177="","",'Sample Information'!C177)</f>
        <v/>
      </c>
      <c r="D137" t="str">
        <f>IF('Sample Information'!E177="","",'Sample Information'!E177)</f>
        <v/>
      </c>
      <c r="E137" t="str">
        <f>IF('Sample Information'!F177="","",'Sample Information'!F177)</f>
        <v/>
      </c>
      <c r="F137" t="str">
        <f>IF('Sample Information'!G177="","",'Sample Information'!G177)</f>
        <v/>
      </c>
      <c r="G137" t="str">
        <f>IF('Sample Information'!H177="","",'Sample Information'!H177)</f>
        <v/>
      </c>
      <c r="I137" t="str">
        <f>IF('Sample Information'!J177="","",'Sample Information'!J177)</f>
        <v/>
      </c>
      <c r="K137" t="str">
        <f>IF('Sample Information'!L177="","",'Sample Information'!L177)</f>
        <v/>
      </c>
      <c r="L137" s="163">
        <f t="shared" si="12"/>
        <v>0</v>
      </c>
      <c r="M137" s="163">
        <f t="shared" si="13"/>
        <v>0</v>
      </c>
      <c r="N137" s="163">
        <f t="shared" si="14"/>
        <v>0</v>
      </c>
      <c r="O137" t="str">
        <f>SUBSTITUTE(StripChar(B137),"-","")</f>
        <v/>
      </c>
      <c r="P137" s="163">
        <f t="shared" si="15"/>
        <v>0</v>
      </c>
      <c r="Q137" s="163">
        <f t="shared" si="16"/>
        <v>0</v>
      </c>
      <c r="R137" t="str">
        <f t="shared" si="17"/>
        <v/>
      </c>
    </row>
    <row r="138" spans="1:18" x14ac:dyDescent="0.2">
      <c r="A138" t="str">
        <f>IF('Sample Information'!$A178="","",IF('Sample Information'!$L$9="","INIT",'Sample Information'!$L$9)&amp;ROW(A138)-2)</f>
        <v/>
      </c>
      <c r="B138" t="str">
        <f>IF('Sample Information'!C178="","",'Sample Information'!C178)</f>
        <v/>
      </c>
      <c r="D138" t="str">
        <f>IF('Sample Information'!E178="","",'Sample Information'!E178)</f>
        <v/>
      </c>
      <c r="E138" t="str">
        <f>IF('Sample Information'!F178="","",'Sample Information'!F178)</f>
        <v/>
      </c>
      <c r="F138" t="str">
        <f>IF('Sample Information'!G178="","",'Sample Information'!G178)</f>
        <v/>
      </c>
      <c r="G138" t="str">
        <f>IF('Sample Information'!H178="","",'Sample Information'!H178)</f>
        <v/>
      </c>
      <c r="I138" t="str">
        <f>IF('Sample Information'!J178="","",'Sample Information'!J178)</f>
        <v/>
      </c>
      <c r="K138" t="str">
        <f>IF('Sample Information'!L178="","",'Sample Information'!L178)</f>
        <v/>
      </c>
      <c r="L138" s="163">
        <f t="shared" si="12"/>
        <v>0</v>
      </c>
      <c r="M138" s="163">
        <f t="shared" si="13"/>
        <v>0</v>
      </c>
      <c r="N138" s="163">
        <f t="shared" si="14"/>
        <v>0</v>
      </c>
      <c r="O138" t="str">
        <f>SUBSTITUTE(StripChar(B138),"-","")</f>
        <v/>
      </c>
      <c r="P138" s="163">
        <f t="shared" si="15"/>
        <v>0</v>
      </c>
      <c r="Q138" s="163">
        <f t="shared" si="16"/>
        <v>0</v>
      </c>
      <c r="R138" t="str">
        <f t="shared" si="17"/>
        <v/>
      </c>
    </row>
    <row r="139" spans="1:18" x14ac:dyDescent="0.2">
      <c r="A139" t="str">
        <f>IF('Sample Information'!$A179="","",IF('Sample Information'!$L$9="","INIT",'Sample Information'!$L$9)&amp;ROW(A139)-2)</f>
        <v/>
      </c>
      <c r="B139" t="str">
        <f>IF('Sample Information'!C179="","",'Sample Information'!C179)</f>
        <v/>
      </c>
      <c r="D139" t="str">
        <f>IF('Sample Information'!E179="","",'Sample Information'!E179)</f>
        <v/>
      </c>
      <c r="E139" t="str">
        <f>IF('Sample Information'!F179="","",'Sample Information'!F179)</f>
        <v/>
      </c>
      <c r="F139" t="str">
        <f>IF('Sample Information'!G179="","",'Sample Information'!G179)</f>
        <v/>
      </c>
      <c r="G139" t="str">
        <f>IF('Sample Information'!H179="","",'Sample Information'!H179)</f>
        <v/>
      </c>
      <c r="I139" t="str">
        <f>IF('Sample Information'!J179="","",'Sample Information'!J179)</f>
        <v/>
      </c>
      <c r="K139" t="str">
        <f>IF('Sample Information'!L179="","",'Sample Information'!L179)</f>
        <v/>
      </c>
      <c r="L139" s="163">
        <f t="shared" si="12"/>
        <v>0</v>
      </c>
      <c r="M139" s="163">
        <f t="shared" si="13"/>
        <v>0</v>
      </c>
      <c r="N139" s="163">
        <f t="shared" si="14"/>
        <v>0</v>
      </c>
      <c r="O139" t="str">
        <f>SUBSTITUTE(StripChar(B139),"-","")</f>
        <v/>
      </c>
      <c r="P139" s="163">
        <f t="shared" si="15"/>
        <v>0</v>
      </c>
      <c r="Q139" s="163">
        <f t="shared" si="16"/>
        <v>0</v>
      </c>
      <c r="R139" t="str">
        <f t="shared" si="17"/>
        <v/>
      </c>
    </row>
    <row r="140" spans="1:18" x14ac:dyDescent="0.2">
      <c r="A140" t="str">
        <f>IF('Sample Information'!$A180="","",IF('Sample Information'!$L$9="","INIT",'Sample Information'!$L$9)&amp;ROW(A140)-2)</f>
        <v/>
      </c>
      <c r="B140" t="str">
        <f>IF('Sample Information'!C180="","",'Sample Information'!C180)</f>
        <v/>
      </c>
      <c r="D140" t="str">
        <f>IF('Sample Information'!E180="","",'Sample Information'!E180)</f>
        <v/>
      </c>
      <c r="E140" t="str">
        <f>IF('Sample Information'!F180="","",'Sample Information'!F180)</f>
        <v/>
      </c>
      <c r="F140" t="str">
        <f>IF('Sample Information'!G180="","",'Sample Information'!G180)</f>
        <v/>
      </c>
      <c r="G140" t="str">
        <f>IF('Sample Information'!H180="","",'Sample Information'!H180)</f>
        <v/>
      </c>
      <c r="I140" t="str">
        <f>IF('Sample Information'!J180="","",'Sample Information'!J180)</f>
        <v/>
      </c>
      <c r="K140" t="str">
        <f>IF('Sample Information'!L180="","",'Sample Information'!L180)</f>
        <v/>
      </c>
      <c r="L140" s="163">
        <f t="shared" si="12"/>
        <v>0</v>
      </c>
      <c r="M140" s="163">
        <f t="shared" si="13"/>
        <v>0</v>
      </c>
      <c r="N140" s="163">
        <f t="shared" si="14"/>
        <v>0</v>
      </c>
      <c r="O140" t="str">
        <f>SUBSTITUTE(StripChar(B140),"-","")</f>
        <v/>
      </c>
      <c r="P140" s="163">
        <f t="shared" si="15"/>
        <v>0</v>
      </c>
      <c r="Q140" s="163">
        <f t="shared" si="16"/>
        <v>0</v>
      </c>
      <c r="R140" t="str">
        <f t="shared" si="17"/>
        <v/>
      </c>
    </row>
    <row r="141" spans="1:18" x14ac:dyDescent="0.2">
      <c r="A141" t="str">
        <f>IF('Sample Information'!$A181="","",IF('Sample Information'!$L$9="","INIT",'Sample Information'!$L$9)&amp;ROW(A141)-2)</f>
        <v/>
      </c>
      <c r="B141" t="str">
        <f>IF('Sample Information'!C181="","",'Sample Information'!C181)</f>
        <v/>
      </c>
      <c r="D141" t="str">
        <f>IF('Sample Information'!E181="","",'Sample Information'!E181)</f>
        <v/>
      </c>
      <c r="E141" t="str">
        <f>IF('Sample Information'!F181="","",'Sample Information'!F181)</f>
        <v/>
      </c>
      <c r="F141" t="str">
        <f>IF('Sample Information'!G181="","",'Sample Information'!G181)</f>
        <v/>
      </c>
      <c r="G141" t="str">
        <f>IF('Sample Information'!H181="","",'Sample Information'!H181)</f>
        <v/>
      </c>
      <c r="I141" t="str">
        <f>IF('Sample Information'!J181="","",'Sample Information'!J181)</f>
        <v/>
      </c>
      <c r="K141" t="str">
        <f>IF('Sample Information'!L181="","",'Sample Information'!L181)</f>
        <v/>
      </c>
      <c r="L141" s="163">
        <f t="shared" si="12"/>
        <v>0</v>
      </c>
      <c r="M141" s="163">
        <f t="shared" si="13"/>
        <v>0</v>
      </c>
      <c r="N141" s="163">
        <f t="shared" si="14"/>
        <v>0</v>
      </c>
      <c r="O141" t="str">
        <f>SUBSTITUTE(StripChar(B141),"-","")</f>
        <v/>
      </c>
      <c r="P141" s="163">
        <f t="shared" si="15"/>
        <v>0</v>
      </c>
      <c r="Q141" s="163">
        <f t="shared" si="16"/>
        <v>0</v>
      </c>
      <c r="R141" t="str">
        <f t="shared" si="17"/>
        <v/>
      </c>
    </row>
    <row r="142" spans="1:18" x14ac:dyDescent="0.2">
      <c r="A142" t="str">
        <f>IF('Sample Information'!$A182="","",IF('Sample Information'!$L$9="","INIT",'Sample Information'!$L$9)&amp;ROW(A142)-2)</f>
        <v/>
      </c>
      <c r="B142" t="str">
        <f>IF('Sample Information'!C182="","",'Sample Information'!C182)</f>
        <v/>
      </c>
      <c r="D142" t="str">
        <f>IF('Sample Information'!E182="","",'Sample Information'!E182)</f>
        <v/>
      </c>
      <c r="E142" t="str">
        <f>IF('Sample Information'!F182="","",'Sample Information'!F182)</f>
        <v/>
      </c>
      <c r="F142" t="str">
        <f>IF('Sample Information'!G182="","",'Sample Information'!G182)</f>
        <v/>
      </c>
      <c r="G142" t="str">
        <f>IF('Sample Information'!H182="","",'Sample Information'!H182)</f>
        <v/>
      </c>
      <c r="I142" t="str">
        <f>IF('Sample Information'!J182="","",'Sample Information'!J182)</f>
        <v/>
      </c>
      <c r="K142" t="str">
        <f>IF('Sample Information'!L182="","",'Sample Information'!L182)</f>
        <v/>
      </c>
      <c r="L142" s="163">
        <f t="shared" si="12"/>
        <v>0</v>
      </c>
      <c r="M142" s="163">
        <f t="shared" si="13"/>
        <v>0</v>
      </c>
      <c r="N142" s="163">
        <f t="shared" si="14"/>
        <v>0</v>
      </c>
      <c r="O142" t="str">
        <f>SUBSTITUTE(StripChar(B142),"-","")</f>
        <v/>
      </c>
      <c r="P142" s="163">
        <f t="shared" si="15"/>
        <v>0</v>
      </c>
      <c r="Q142" s="163">
        <f t="shared" si="16"/>
        <v>0</v>
      </c>
      <c r="R142" t="str">
        <f t="shared" si="17"/>
        <v/>
      </c>
    </row>
    <row r="143" spans="1:18" x14ac:dyDescent="0.2">
      <c r="A143" t="str">
        <f>IF('Sample Information'!$A183="","",IF('Sample Information'!$L$9="","INIT",'Sample Information'!$L$9)&amp;ROW(A143)-2)</f>
        <v/>
      </c>
      <c r="B143" t="str">
        <f>IF('Sample Information'!C183="","",'Sample Information'!C183)</f>
        <v/>
      </c>
      <c r="D143" t="str">
        <f>IF('Sample Information'!E183="","",'Sample Information'!E183)</f>
        <v/>
      </c>
      <c r="E143" t="str">
        <f>IF('Sample Information'!F183="","",'Sample Information'!F183)</f>
        <v/>
      </c>
      <c r="F143" t="str">
        <f>IF('Sample Information'!G183="","",'Sample Information'!G183)</f>
        <v/>
      </c>
      <c r="G143" t="str">
        <f>IF('Sample Information'!H183="","",'Sample Information'!H183)</f>
        <v/>
      </c>
      <c r="I143" t="str">
        <f>IF('Sample Information'!J183="","",'Sample Information'!J183)</f>
        <v/>
      </c>
      <c r="K143" t="str">
        <f>IF('Sample Information'!L183="","",'Sample Information'!L183)</f>
        <v/>
      </c>
      <c r="L143" s="163">
        <f t="shared" si="12"/>
        <v>0</v>
      </c>
      <c r="M143" s="163">
        <f t="shared" si="13"/>
        <v>0</v>
      </c>
      <c r="N143" s="163">
        <f t="shared" si="14"/>
        <v>0</v>
      </c>
      <c r="O143" t="str">
        <f>SUBSTITUTE(StripChar(B143),"-","")</f>
        <v/>
      </c>
      <c r="P143" s="163">
        <f t="shared" si="15"/>
        <v>0</v>
      </c>
      <c r="Q143" s="163">
        <f t="shared" si="16"/>
        <v>0</v>
      </c>
      <c r="R143" t="str">
        <f t="shared" si="17"/>
        <v/>
      </c>
    </row>
    <row r="144" spans="1:18" x14ac:dyDescent="0.2">
      <c r="A144" t="str">
        <f>IF('Sample Information'!$A184="","",IF('Sample Information'!$L$9="","INIT",'Sample Information'!$L$9)&amp;ROW(A144)-2)</f>
        <v/>
      </c>
      <c r="B144" t="str">
        <f>IF('Sample Information'!C184="","",'Sample Information'!C184)</f>
        <v/>
      </c>
      <c r="D144" t="str">
        <f>IF('Sample Information'!E184="","",'Sample Information'!E184)</f>
        <v/>
      </c>
      <c r="E144" t="str">
        <f>IF('Sample Information'!F184="","",'Sample Information'!F184)</f>
        <v/>
      </c>
      <c r="F144" t="str">
        <f>IF('Sample Information'!G184="","",'Sample Information'!G184)</f>
        <v/>
      </c>
      <c r="G144" t="str">
        <f>IF('Sample Information'!H184="","",'Sample Information'!H184)</f>
        <v/>
      </c>
      <c r="I144" t="str">
        <f>IF('Sample Information'!J184="","",'Sample Information'!J184)</f>
        <v/>
      </c>
      <c r="K144" t="str">
        <f>IF('Sample Information'!L184="","",'Sample Information'!L184)</f>
        <v/>
      </c>
      <c r="L144" s="163">
        <f t="shared" si="12"/>
        <v>0</v>
      </c>
      <c r="M144" s="163">
        <f t="shared" si="13"/>
        <v>0</v>
      </c>
      <c r="N144" s="163">
        <f t="shared" si="14"/>
        <v>0</v>
      </c>
      <c r="O144" t="str">
        <f>SUBSTITUTE(StripChar(B144),"-","")</f>
        <v/>
      </c>
      <c r="P144" s="163">
        <f t="shared" si="15"/>
        <v>0</v>
      </c>
      <c r="Q144" s="163">
        <f t="shared" si="16"/>
        <v>0</v>
      </c>
      <c r="R144" t="str">
        <f t="shared" si="17"/>
        <v/>
      </c>
    </row>
    <row r="145" spans="1:20" x14ac:dyDescent="0.2">
      <c r="A145" t="str">
        <f>IF('Sample Information'!$A185="","",IF('Sample Information'!$L$9="","INIT",'Sample Information'!$L$9)&amp;ROW(A145)-2)</f>
        <v/>
      </c>
      <c r="B145" t="str">
        <f>IF('Sample Information'!C185="","",'Sample Information'!C185)</f>
        <v/>
      </c>
      <c r="D145" t="str">
        <f>IF('Sample Information'!E185="","",'Sample Information'!E185)</f>
        <v/>
      </c>
      <c r="E145" t="str">
        <f>IF('Sample Information'!F185="","",'Sample Information'!F185)</f>
        <v/>
      </c>
      <c r="F145" t="str">
        <f>IF('Sample Information'!G185="","",'Sample Information'!G185)</f>
        <v/>
      </c>
      <c r="G145" t="str">
        <f>IF('Sample Information'!H185="","",'Sample Information'!H185)</f>
        <v/>
      </c>
      <c r="I145" t="str">
        <f>IF('Sample Information'!J185="","",'Sample Information'!J185)</f>
        <v/>
      </c>
      <c r="K145" t="str">
        <f>IF('Sample Information'!L185="","",'Sample Information'!L185)</f>
        <v/>
      </c>
      <c r="L145" s="163">
        <f t="shared" si="12"/>
        <v>0</v>
      </c>
      <c r="M145" s="163">
        <f t="shared" si="13"/>
        <v>0</v>
      </c>
      <c r="N145" s="163">
        <f t="shared" si="14"/>
        <v>0</v>
      </c>
      <c r="O145" t="str">
        <f>SUBSTITUTE(StripChar(B145),"-","")</f>
        <v/>
      </c>
      <c r="P145" s="163">
        <f t="shared" si="15"/>
        <v>0</v>
      </c>
      <c r="Q145" s="163">
        <f t="shared" si="16"/>
        <v>0</v>
      </c>
      <c r="R145" t="str">
        <f t="shared" si="17"/>
        <v/>
      </c>
    </row>
    <row r="146" spans="1:20" x14ac:dyDescent="0.2">
      <c r="A146" t="str">
        <f>IF('Sample Information'!$A186="","",IF('Sample Information'!$L$9="","INIT",'Sample Information'!$L$9)&amp;ROW(A146)-2)</f>
        <v/>
      </c>
      <c r="B146" t="str">
        <f>IF('Sample Information'!C186="","",'Sample Information'!C186)</f>
        <v/>
      </c>
      <c r="D146" t="str">
        <f>IF('Sample Information'!E186="","",'Sample Information'!E186)</f>
        <v/>
      </c>
      <c r="E146" t="str">
        <f>IF('Sample Information'!F186="","",'Sample Information'!F186)</f>
        <v/>
      </c>
      <c r="F146" t="str">
        <f>IF('Sample Information'!G186="","",'Sample Information'!G186)</f>
        <v/>
      </c>
      <c r="G146" t="str">
        <f>IF('Sample Information'!H186="","",'Sample Information'!H186)</f>
        <v/>
      </c>
      <c r="I146" t="str">
        <f>IF('Sample Information'!J186="","",'Sample Information'!J186)</f>
        <v/>
      </c>
      <c r="K146" t="str">
        <f>IF('Sample Information'!L186="","",'Sample Information'!L186)</f>
        <v/>
      </c>
      <c r="L146" s="163">
        <f t="shared" si="12"/>
        <v>0</v>
      </c>
      <c r="M146" s="163">
        <f t="shared" si="13"/>
        <v>0</v>
      </c>
      <c r="N146" s="163">
        <f t="shared" si="14"/>
        <v>0</v>
      </c>
      <c r="O146" t="str">
        <f>SUBSTITUTE(StripChar(B146),"-","")</f>
        <v/>
      </c>
      <c r="P146" s="163">
        <f t="shared" si="15"/>
        <v>0</v>
      </c>
      <c r="Q146" s="163">
        <f t="shared" si="16"/>
        <v>0</v>
      </c>
      <c r="R146" t="str">
        <f t="shared" si="17"/>
        <v/>
      </c>
    </row>
    <row r="147" spans="1:20" x14ac:dyDescent="0.2">
      <c r="A147" t="str">
        <f>IF('Sample Information'!$A187="","",IF('Sample Information'!$L$9="","INIT",'Sample Information'!$L$9)&amp;ROW(A147)-2)</f>
        <v/>
      </c>
      <c r="B147" t="str">
        <f>IF('Sample Information'!C187="","",'Sample Information'!C187)</f>
        <v/>
      </c>
      <c r="D147" t="str">
        <f>IF('Sample Information'!E187="","",'Sample Information'!E187)</f>
        <v/>
      </c>
      <c r="E147" t="str">
        <f>IF('Sample Information'!F187="","",'Sample Information'!F187)</f>
        <v/>
      </c>
      <c r="F147" t="str">
        <f>IF('Sample Information'!G187="","",'Sample Information'!G187)</f>
        <v/>
      </c>
      <c r="G147" t="str">
        <f>IF('Sample Information'!H187="","",'Sample Information'!H187)</f>
        <v/>
      </c>
      <c r="I147" t="str">
        <f>IF('Sample Information'!J187="","",'Sample Information'!J187)</f>
        <v/>
      </c>
      <c r="K147" t="str">
        <f>IF('Sample Information'!L187="","",'Sample Information'!L187)</f>
        <v/>
      </c>
      <c r="L147" s="163">
        <f t="shared" si="12"/>
        <v>0</v>
      </c>
      <c r="M147" s="163">
        <f t="shared" si="13"/>
        <v>0</v>
      </c>
      <c r="N147" s="163">
        <f t="shared" si="14"/>
        <v>0</v>
      </c>
      <c r="O147" t="str">
        <f>SUBSTITUTE(StripChar(B147),"-","")</f>
        <v/>
      </c>
      <c r="P147" s="163">
        <f t="shared" si="15"/>
        <v>0</v>
      </c>
      <c r="Q147" s="163">
        <f t="shared" si="16"/>
        <v>0</v>
      </c>
      <c r="R147" t="str">
        <f t="shared" si="17"/>
        <v/>
      </c>
    </row>
    <row r="148" spans="1:20" x14ac:dyDescent="0.2">
      <c r="A148" t="str">
        <f>IF('Sample Information'!$A188="","",IF('Sample Information'!$L$9="","INIT",'Sample Information'!$L$9)&amp;ROW(A148)-2)</f>
        <v/>
      </c>
      <c r="B148" t="str">
        <f>IF('Sample Information'!C188="","",'Sample Information'!C188)</f>
        <v/>
      </c>
      <c r="D148" t="str">
        <f>IF('Sample Information'!E188="","",'Sample Information'!E188)</f>
        <v/>
      </c>
      <c r="E148" t="str">
        <f>IF('Sample Information'!F188="","",'Sample Information'!F188)</f>
        <v/>
      </c>
      <c r="F148" t="str">
        <f>IF('Sample Information'!G188="","",'Sample Information'!G188)</f>
        <v/>
      </c>
      <c r="G148" t="str">
        <f>IF('Sample Information'!H188="","",'Sample Information'!H188)</f>
        <v/>
      </c>
      <c r="I148" t="str">
        <f>IF('Sample Information'!J188="","",'Sample Information'!J188)</f>
        <v/>
      </c>
      <c r="K148" t="str">
        <f>IF('Sample Information'!L188="","",'Sample Information'!L188)</f>
        <v/>
      </c>
      <c r="L148" s="163">
        <f t="shared" si="12"/>
        <v>0</v>
      </c>
      <c r="M148" s="163">
        <f t="shared" si="13"/>
        <v>0</v>
      </c>
      <c r="N148" s="163">
        <f t="shared" si="14"/>
        <v>0</v>
      </c>
      <c r="O148" t="str">
        <f>SUBSTITUTE(StripChar(B148),"-","")</f>
        <v/>
      </c>
      <c r="P148" s="163">
        <f t="shared" si="15"/>
        <v>0</v>
      </c>
      <c r="Q148" s="163">
        <f t="shared" si="16"/>
        <v>0</v>
      </c>
      <c r="R148" t="str">
        <f t="shared" si="17"/>
        <v/>
      </c>
    </row>
    <row r="149" spans="1:20" x14ac:dyDescent="0.2">
      <c r="A149" t="str">
        <f>IF('Sample Information'!$A189="","",IF('Sample Information'!$L$9="","INIT",'Sample Information'!$L$9)&amp;ROW(A149)-2)</f>
        <v/>
      </c>
      <c r="B149" t="str">
        <f>IF('Sample Information'!C189="","",'Sample Information'!C189)</f>
        <v/>
      </c>
      <c r="D149" t="str">
        <f>IF('Sample Information'!E189="","",'Sample Information'!E189)</f>
        <v/>
      </c>
      <c r="E149" t="str">
        <f>IF('Sample Information'!F189="","",'Sample Information'!F189)</f>
        <v/>
      </c>
      <c r="F149" t="str">
        <f>IF('Sample Information'!G189="","",'Sample Information'!G189)</f>
        <v/>
      </c>
      <c r="G149" t="str">
        <f>IF('Sample Information'!H189="","",'Sample Information'!H189)</f>
        <v/>
      </c>
      <c r="I149" t="str">
        <f>IF('Sample Information'!J189="","",'Sample Information'!J189)</f>
        <v/>
      </c>
      <c r="K149" t="str">
        <f>IF('Sample Information'!L189="","",'Sample Information'!L189)</f>
        <v/>
      </c>
      <c r="L149" s="163">
        <f t="shared" si="12"/>
        <v>0</v>
      </c>
      <c r="M149" s="163">
        <f t="shared" si="13"/>
        <v>0</v>
      </c>
      <c r="N149" s="163">
        <f t="shared" si="14"/>
        <v>0</v>
      </c>
      <c r="O149" t="str">
        <f>SUBSTITUTE(StripChar(B149),"-","")</f>
        <v/>
      </c>
      <c r="P149" s="163">
        <f t="shared" si="15"/>
        <v>0</v>
      </c>
      <c r="Q149" s="163">
        <f t="shared" si="16"/>
        <v>0</v>
      </c>
      <c r="R149" t="str">
        <f t="shared" si="17"/>
        <v/>
      </c>
    </row>
    <row r="150" spans="1:20" x14ac:dyDescent="0.2">
      <c r="A150" t="str">
        <f>IF('Sample Information'!$A190="","",IF('Sample Information'!$L$9="","INIT",'Sample Information'!$L$9)&amp;ROW(A150)-2)</f>
        <v/>
      </c>
      <c r="B150" t="str">
        <f>IF('Sample Information'!C190="","",'Sample Information'!C190)</f>
        <v/>
      </c>
      <c r="D150" t="str">
        <f>IF('Sample Information'!E190="","",'Sample Information'!E190)</f>
        <v/>
      </c>
      <c r="E150" t="str">
        <f>IF('Sample Information'!F190="","",'Sample Information'!F190)</f>
        <v/>
      </c>
      <c r="F150" t="str">
        <f>IF('Sample Information'!G190="","",'Sample Information'!G190)</f>
        <v/>
      </c>
      <c r="G150" t="str">
        <f>IF('Sample Information'!H190="","",'Sample Information'!H190)</f>
        <v/>
      </c>
      <c r="I150" t="str">
        <f>IF('Sample Information'!J190="","",'Sample Information'!J190)</f>
        <v/>
      </c>
      <c r="K150" t="str">
        <f>IF('Sample Information'!L190="","",'Sample Information'!L190)</f>
        <v/>
      </c>
      <c r="L150" s="163">
        <f t="shared" si="12"/>
        <v>0</v>
      </c>
      <c r="M150" s="163">
        <f t="shared" si="13"/>
        <v>0</v>
      </c>
      <c r="N150" s="163">
        <f t="shared" si="14"/>
        <v>0</v>
      </c>
      <c r="O150" t="str">
        <f>SUBSTITUTE(StripChar(B150),"-","")</f>
        <v/>
      </c>
      <c r="P150" s="163">
        <f t="shared" si="15"/>
        <v>0</v>
      </c>
      <c r="Q150" s="163">
        <f t="shared" si="16"/>
        <v>0</v>
      </c>
      <c r="R150" t="str">
        <f t="shared" si="17"/>
        <v/>
      </c>
    </row>
    <row r="151" spans="1:20" x14ac:dyDescent="0.2">
      <c r="A151" t="str">
        <f>IF('Sample Information'!$A191="","",IF('Sample Information'!$L$9="","INIT",'Sample Information'!$L$9)&amp;ROW(A151)-2)</f>
        <v/>
      </c>
      <c r="B151" t="str">
        <f>IF('Sample Information'!C191="","",'Sample Information'!C191)</f>
        <v/>
      </c>
      <c r="D151" t="str">
        <f>IF('Sample Information'!E191="","",'Sample Information'!E191)</f>
        <v/>
      </c>
      <c r="E151" t="str">
        <f>IF('Sample Information'!F191="","",'Sample Information'!F191)</f>
        <v/>
      </c>
      <c r="F151" t="str">
        <f>IF('Sample Information'!G191="","",'Sample Information'!G191)</f>
        <v/>
      </c>
      <c r="G151" t="str">
        <f>IF('Sample Information'!H191="","",'Sample Information'!H191)</f>
        <v/>
      </c>
      <c r="I151" t="str">
        <f>IF('Sample Information'!J191="","",'Sample Information'!J191)</f>
        <v/>
      </c>
      <c r="K151" t="str">
        <f>IF('Sample Information'!L191="","",'Sample Information'!L191)</f>
        <v/>
      </c>
      <c r="L151" s="163">
        <f t="shared" si="12"/>
        <v>0</v>
      </c>
      <c r="M151" s="163">
        <f t="shared" si="13"/>
        <v>0</v>
      </c>
      <c r="N151" s="163">
        <f t="shared" si="14"/>
        <v>0</v>
      </c>
      <c r="O151" t="str">
        <f>SUBSTITUTE(StripChar(B151),"-","")</f>
        <v/>
      </c>
      <c r="P151" s="163">
        <f t="shared" si="15"/>
        <v>0</v>
      </c>
      <c r="Q151" s="163">
        <f t="shared" si="16"/>
        <v>0</v>
      </c>
      <c r="R151" t="str">
        <f t="shared" si="17"/>
        <v/>
      </c>
    </row>
    <row r="152" spans="1:20" x14ac:dyDescent="0.2">
      <c r="A152" t="str">
        <f>IF('Sample Information'!$A192="","",IF('Sample Information'!$L$9="","INIT",'Sample Information'!$L$9)&amp;ROW(A152)-2)</f>
        <v/>
      </c>
      <c r="B152" t="str">
        <f>IF('Sample Information'!C192="","",'Sample Information'!C192)</f>
        <v/>
      </c>
      <c r="D152" t="str">
        <f>IF('Sample Information'!E192="","",'Sample Information'!E192)</f>
        <v/>
      </c>
      <c r="E152" t="str">
        <f>IF('Sample Information'!F192="","",'Sample Information'!F192)</f>
        <v/>
      </c>
      <c r="F152" t="str">
        <f>IF('Sample Information'!G192="","",'Sample Information'!G192)</f>
        <v/>
      </c>
      <c r="G152" t="str">
        <f>IF('Sample Information'!H192="","",'Sample Information'!H192)</f>
        <v/>
      </c>
      <c r="I152" t="str">
        <f>IF('Sample Information'!J192="","",'Sample Information'!J192)</f>
        <v/>
      </c>
      <c r="K152" t="str">
        <f>IF('Sample Information'!L192="","",'Sample Information'!L192)</f>
        <v/>
      </c>
      <c r="L152" s="163">
        <f t="shared" si="12"/>
        <v>0</v>
      </c>
      <c r="M152" s="163">
        <f t="shared" si="13"/>
        <v>0</v>
      </c>
      <c r="N152" s="163">
        <f t="shared" si="14"/>
        <v>0</v>
      </c>
      <c r="O152" t="str">
        <f>SUBSTITUTE(StripChar(B152),"-","")</f>
        <v/>
      </c>
      <c r="P152" s="163">
        <f t="shared" si="15"/>
        <v>0</v>
      </c>
      <c r="Q152" s="163">
        <f t="shared" si="16"/>
        <v>0</v>
      </c>
      <c r="R152" t="str">
        <f t="shared" si="17"/>
        <v/>
      </c>
    </row>
    <row r="153" spans="1:20" x14ac:dyDescent="0.2">
      <c r="A153" s="158" t="s">
        <v>152</v>
      </c>
      <c r="B153" s="158" t="s">
        <v>152</v>
      </c>
      <c r="C153" s="158" t="s">
        <v>152</v>
      </c>
      <c r="D153" s="158" t="s">
        <v>152</v>
      </c>
      <c r="E153" s="158" t="s">
        <v>152</v>
      </c>
      <c r="F153" s="158" t="s">
        <v>152</v>
      </c>
      <c r="G153" s="158" t="s">
        <v>152</v>
      </c>
      <c r="H153" s="158" t="s">
        <v>152</v>
      </c>
      <c r="I153" s="158" t="s">
        <v>152</v>
      </c>
      <c r="J153" s="158" t="s">
        <v>152</v>
      </c>
      <c r="K153" s="158" t="s">
        <v>152</v>
      </c>
      <c r="L153" s="158"/>
      <c r="M153" s="158" t="s">
        <v>152</v>
      </c>
      <c r="N153" s="158" t="s">
        <v>152</v>
      </c>
      <c r="O153" s="158" t="s">
        <v>152</v>
      </c>
      <c r="P153" s="158" t="s">
        <v>152</v>
      </c>
      <c r="Q153" s="158" t="s">
        <v>152</v>
      </c>
      <c r="R153" s="158" t="s">
        <v>152</v>
      </c>
      <c r="S153" s="158" t="s">
        <v>152</v>
      </c>
      <c r="T153" s="158" t="s">
        <v>152</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61A565-91D1-439D-82AB-5A9ACC0CE58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Sample Information</vt:lpstr>
      <vt:lpstr>Example</vt:lpstr>
      <vt:lpstr>Source code</vt:lpstr>
      <vt:lpstr>sample table mirror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Ivy Zhong Work</dc:creator>
  <cp:lastModifiedBy>Jen Grenier</cp:lastModifiedBy>
  <cp:lastPrinted>2019-04-03T17:54:01Z</cp:lastPrinted>
  <dcterms:created xsi:type="dcterms:W3CDTF">2015-12-22T18:10:44Z</dcterms:created>
  <dcterms:modified xsi:type="dcterms:W3CDTF">2019-09-30T21:34:36Z</dcterms:modified>
</cp:coreProperties>
</file>